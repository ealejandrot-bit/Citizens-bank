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emilioalejandro_m_ad_infosys_com/Documents/Desktop/"/>
    </mc:Choice>
  </mc:AlternateContent>
  <xr:revisionPtr revIDLastSave="0" documentId="8_{3E92F8F3-C963-419C-A5E2-05DF772F8C3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Variables" sheetId="1" r:id="rId1"/>
    <sheet name="Priority &amp; feasibility" sheetId="2" r:id="rId2"/>
    <sheet name="Summary" sheetId="3" r:id="rId3"/>
    <sheet name="Base definitions" sheetId="4" r:id="rId4"/>
    <sheet name="Parameters" sheetId="5" r:id="rId5"/>
  </sheets>
  <definedNames>
    <definedName name="_xlnm._FilterDatabase" localSheetId="0" hidden="1">Variables!$A$1:$Q$38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3" l="1"/>
  <c r="G11" i="3"/>
  <c r="F11" i="3"/>
  <c r="D11" i="3"/>
  <c r="C11" i="3"/>
  <c r="B11" i="3"/>
  <c r="E11" i="3" s="1"/>
  <c r="H10" i="3"/>
  <c r="G10" i="3"/>
  <c r="F10" i="3"/>
  <c r="D10" i="3"/>
  <c r="C10" i="3"/>
  <c r="B10" i="3"/>
  <c r="E10" i="3" s="1"/>
  <c r="H9" i="3"/>
  <c r="G9" i="3"/>
  <c r="F9" i="3"/>
  <c r="D9" i="3"/>
  <c r="C9" i="3"/>
  <c r="B9" i="3"/>
  <c r="E9" i="3" s="1"/>
  <c r="H8" i="3"/>
  <c r="G8" i="3"/>
  <c r="F8" i="3"/>
  <c r="D8" i="3"/>
  <c r="E8" i="3" s="1"/>
  <c r="C8" i="3"/>
  <c r="B8" i="3"/>
  <c r="H7" i="3"/>
  <c r="G7" i="3"/>
  <c r="F7" i="3"/>
  <c r="D7" i="3"/>
  <c r="C7" i="3"/>
  <c r="B7" i="3"/>
  <c r="E7" i="3" s="1"/>
  <c r="H6" i="3"/>
  <c r="G6" i="3"/>
  <c r="F6" i="3"/>
  <c r="D6" i="3"/>
  <c r="C6" i="3"/>
  <c r="B6" i="3"/>
  <c r="E6" i="3" s="1"/>
  <c r="H5" i="3"/>
  <c r="G5" i="3"/>
  <c r="F5" i="3"/>
  <c r="E5" i="3"/>
  <c r="D5" i="3"/>
  <c r="C5" i="3"/>
  <c r="B5" i="3"/>
  <c r="H4" i="3"/>
  <c r="H12" i="3" s="1"/>
  <c r="G4" i="3"/>
  <c r="G12" i="3" s="1"/>
  <c r="F4" i="3"/>
  <c r="F12" i="3" s="1"/>
  <c r="D4" i="3"/>
  <c r="E4" i="3" s="1"/>
  <c r="E12" i="3" s="1"/>
  <c r="C4" i="3"/>
  <c r="C12" i="3" s="1"/>
  <c r="B4" i="3"/>
  <c r="B12" i="3" s="1"/>
  <c r="D12" i="3" l="1"/>
</calcChain>
</file>

<file path=xl/sharedStrings.xml><?xml version="1.0" encoding="utf-8"?>
<sst xmlns="http://schemas.openxmlformats.org/spreadsheetml/2006/main" count="749" uniqueCount="501">
  <si>
    <t>#</t>
  </si>
  <si>
    <t>Priority</t>
  </si>
  <si>
    <t>Group</t>
  </si>
  <si>
    <t>Variable</t>
  </si>
  <si>
    <t>Business definition</t>
  </si>
  <si>
    <t>Calculation (simplified)</t>
  </si>
  <si>
    <t>Data attributes / data points</t>
  </si>
  <si>
    <t>Source system</t>
  </si>
  <si>
    <t>Window(s)</t>
  </si>
  <si>
    <t>Data type / unit</t>
  </si>
  <si>
    <t>Considerations &amp; exclusions</t>
  </si>
  <si>
    <t>Alert threshold (illustrative)</t>
  </si>
  <si>
    <t>Predictive strength</t>
  </si>
  <si>
    <t>Feasibility</t>
  </si>
  <si>
    <t>Feasibility rationale</t>
  </si>
  <si>
    <t>Priority rationale</t>
  </si>
  <si>
    <t>Detailed logic (for data engineering)</t>
  </si>
  <si>
    <t>P1</t>
  </si>
  <si>
    <t>Balances &amp; AUM</t>
  </si>
  <si>
    <t>aum_outflow</t>
  </si>
  <si>
    <t>Money the client moves out of investment accounts by their own decision, excluding market gains or losses.</t>
  </si>
  <si>
    <t>Money out of investment accounts − money in, last 90d (0 if negative)</t>
  </si>
  <si>
    <t>• household_id, account_id, account_type
• transaction_date, settlement_date
• transaction_type (withdrawal, transfer out, ACATS, distribution, contribution, reinvestment)
• transaction_amount
• counterparty flag (internal vs. external)
• daily account market value</t>
  </si>
  <si>
    <t>Wealth / custody</t>
  </si>
  <si>
    <t>30d, 90d</t>
  </si>
  <si>
    <t>Amount ($) and %</t>
  </si>
  <si>
    <t>Exclude transfers between accounts of the same household, bank fees, tax withholdings and RMDs (scheduled required minimum distributions).</t>
  </si>
  <si>
    <t>aum_outflow_pct_90d &gt; 10%</t>
  </si>
  <si>
    <t>High</t>
  </si>
  <si>
    <t>Medium</t>
  </si>
  <si>
    <t>Requires classifying custody transaction codes into outflow vs. contribution.</t>
  </si>
  <si>
    <t>Direct measure of asset flight; core input for soft churn.</t>
  </si>
  <si>
    <t>aum_outflow_W = max(0, Σ investment outflows − Σ contributions) over (t−W, t].
Outflows = cash withdrawals, outgoing cash or securities transfers (incl. ACATS) and distributions paid outside the bank.
Contributions = deposits, incoming transfers and reinvestments.
Relative version: aum_outflow_pct_W = aum_outflow_W ÷ average daily AUM over the same window.</t>
  </si>
  <si>
    <t>deposit_balance_change_pct</t>
  </si>
  <si>
    <t>How much the money the client keeps in deposits went up or down versus the prior period of the same length.</t>
  </si>
  <si>
    <t>Avg deposit balance (last 90d) ÷ avg deposit balance (prior 90d) − 1</t>
  </si>
  <si>
    <t>• household_id, account_id
• product_type (checking, savings, MM, CD)
• balance_date
• end-of-day ledger balance</t>
  </si>
  <si>
    <t>Core banking</t>
  </si>
  <si>
    <t>30d, 90d, 180d</t>
  </si>
  <si>
    <t>% (fraction)</t>
  </si>
  <si>
    <t>If the prior-period balance is below the minimum (e.g. $10,000) → null, to avoid extreme %. Exclude internal transfers between household accounts.</t>
  </si>
  <si>
    <t>≤ −25% over 90d</t>
  </si>
  <si>
    <t>Daily balances are standard in core banking.</t>
  </si>
  <si>
    <t>Classic attrition signal and simple to build.</t>
  </si>
  <si>
    <t>= (average daily deposit balance over (t−W, t] ÷ average daily deposit balance over (t−2W, t−W]) − 1.
Deposits = checking, savings, money market and CDs, summed at household level.</t>
  </si>
  <si>
    <t>Recurring deposits &amp; flows</t>
  </si>
  <si>
    <t>salary_deposit_stopped_flag</t>
  </si>
  <si>
    <t>The client stopped receiving their payroll at Citizens. It usually means they moved their primary bank.</t>
  </si>
  <si>
    <t>1 if a regular payroll deposit has not arrived in the last 45 days</t>
  </si>
  <si>
    <t>• household_id, account_id
• ACH credit transactions: date, amount
• SEC code, company ID / originator name
• transaction description</t>
  </si>
  <si>
    <t>Core banking (ACH)</t>
  </si>
  <si>
    <t>45d</t>
  </si>
  <si>
    <t>Binary</t>
  </si>
  <si>
    <t>Exclude reported retirement, death and known leaves. For monthly payroll, use 1.5× the usual interval instead of a fixed 45d.</t>
  </si>
  <si>
    <t>= 1</t>
  </si>
  <si>
    <t>Very high</t>
  </si>
  <si>
    <t>Requires a recurring-pattern detection routine on ACH data.</t>
  </si>
  <si>
    <t>One of the strongest early signals; data exists.</t>
  </si>
  <si>
    <t>1) Identify payroll: ACH credits with payroll code (SEC PPD / description such as PAYROLL or DIR DEP) from the same originator, with ≥3 occurrences in 6m and regular periodicity (coefficient of variation of intervals &lt; 0.25).
2) Flag = 1 if the pattern existed as of t−45d and there is no credit from that originator in (t−45d, t].
3) If a new payroll arrives for ≥50% of the prior amount (job change) → Flag = 0.</t>
  </si>
  <si>
    <t>recurring_deposit_stopped_flag</t>
  </si>
  <si>
    <t>A significant recurring income stream stopped arriving (payroll, pension, dividends, trust distributions, rental income).</t>
  </si>
  <si>
    <t>1 if any regular income (payroll, pension, dividends, trust distributions) has not arrived in the last 45 days</t>
  </si>
  <si>
    <t>• household_id, account_id
• credit transactions: date, amount
• originator / payer ID and name
• transaction type (ACH, wire, check, dividend)</t>
  </si>
  <si>
    <t>Core banking + custody</t>
  </si>
  <si>
    <t>45d or 1.5× interval</t>
  </si>
  <si>
    <t>Quarterly streams (dividends) need a 1.5 × 90d window. Also store the type of stream that stopped, to explain the alert.</t>
  </si>
  <si>
    <t>Same recurring-pattern routine, extended to all streams.</t>
  </si>
  <si>
    <t>Aggregate signal; deck rule.</t>
  </si>
  <si>
    <t>1) Identify each recurring stream by originator, with ≥3 occurrences in 12m and regular periodicity.
2) Keep only streams representing ≥10% of total recurring income.
3) Flag = 1 if any of them does not arrive within 1.5× its usual interval (minimum 45d).</t>
  </si>
  <si>
    <t>recurring_deposit_change_pct</t>
  </si>
  <si>
    <t>How much the client's recurring income fell versus its normal level, even if it did not stop completely.</t>
  </si>
  <si>
    <t>Recurring deposits (last 30d) ÷ monthly average of the prior 6 months − 1</t>
  </si>
  <si>
    <t>• Output of the recurring-stream detection (stream_id, frequency)
• credit transactions: date, amount</t>
  </si>
  <si>
    <t>30d vs. 6m baseline</t>
  </si>
  <si>
    <t>Null if no recurring streams are identified. Deck rule.</t>
  </si>
  <si>
    <t>≤ −40%</t>
  </si>
  <si>
    <t>Depends on the recurring-stream routine.</t>
  </si>
  <si>
    <t>Deck rule; captures partial redirection of income.</t>
  </si>
  <si>
    <t>= Σ recurring deposits over (t−30d, t] ÷ average monthly recurring deposits over (t−210d, t−30d] − 1.
Quarterly streams are converted to a monthly amount (amount ÷ 3) to avoid false drops.</t>
  </si>
  <si>
    <t>net_deposit_flow</t>
  </si>
  <si>
    <t>Net balance of money entering and leaving the client's deposits. Negative = the client is taking out more than they put in.</t>
  </si>
  <si>
    <t>Money into deposits − money out of deposits, last 90d</t>
  </si>
  <si>
    <t>• household_id, account_id
• transaction_date, amount, debit/credit indicator
• internal-transfer flag</t>
  </si>
  <si>
    <t>Exclude internal transfers between accounts of the same household (including deposit ↔ investment). Partially overlaps with net_external_flow.</t>
  </si>
  <si>
    <t>pct_90d ≤ −15%</t>
  </si>
  <si>
    <t>Standard transaction data.</t>
  </si>
  <si>
    <t>Cheap to build and a baseline for other flow variables.</t>
  </si>
  <si>
    <t>= Σ credits − Σ debits on deposit accounts over (t−W, t], at household level.
Relative version: net_deposit_flow_pct = net_deposit_flow ÷ average daily balance of the window.</t>
  </si>
  <si>
    <t>Transfers</t>
  </si>
  <si>
    <t>external_transfer_pct_of_balance</t>
  </si>
  <si>
    <t>Share of the client's money sent to other institutions. The most direct signal that the client is moving the relationship.</t>
  </si>
  <si>
    <t>Money sent to other institutions (last 60d) ÷ average balance</t>
  </si>
  <si>
    <t>• household_id, account_id
• outgoing wires and ACH: date, amount
• beneficiary bank ABA / SWIFT, beneficiary name/account
• payment purpose / SEC code (to exclude billers, taxes)
• average daily balance</t>
  </si>
  <si>
    <t>Core banking + payments</t>
  </si>
  <si>
    <t>30d, 60d</t>
  </si>
  <si>
    <t>Exclude payments to merchants and billers, taxes (IRS / state), loan payments to Citizens and identified recurring donations. Deck rule.</t>
  </si>
  <si>
    <t>&gt; 15% over 60d</t>
  </si>
  <si>
    <t>Wire and ACH data are available; exclusion rules need to be coded.</t>
  </si>
  <si>
    <t>Strongest day-1 predictor.</t>
  </si>
  <si>
    <t>= Σ outgoing external transfers over (t−60d, t] ÷ average daily balance (deposits + cash in investment accounts) over the same window.
External transfer = outgoing wire, client-originated ACH to an external account, or transfer to the client's own account at another bank.</t>
  </si>
  <si>
    <t>new_external_destinations</t>
  </si>
  <si>
    <t>Number of new external accounts the client started sending money to. Opening new destinations is often the first step in moving.</t>
  </si>
  <si>
    <t>Number of external accounts that received money for the first time in the last 30d</t>
  </si>
  <si>
    <t>• outgoing wires and ACH: date, amount
• beneficiary ABA / SWIFT + account number or beneficiary ID
• 12m+ payee history</t>
  </si>
  <si>
    <t>Integer</t>
  </si>
  <si>
    <t>Count only destinations receiving ≥ a minimum amount (e.g. $10,000 cumulative) to exclude small payments.</t>
  </si>
  <si>
    <t>≥ 1 in 30d</t>
  </si>
  <si>
    <t>Requires 12m+ of payee history, which is usually retained.</t>
  </si>
  <si>
    <t>Earliest behavioral sign of a move.</t>
  </si>
  <si>
    <t>= number of distinct destinations (routing + account, or wire beneficiary) that received funds over (t−W, t] and do not appear in the 12 months before the window.</t>
  </si>
  <si>
    <t>Investments</t>
  </si>
  <si>
    <t>investment_redemption_pct</t>
  </si>
  <si>
    <t>Share of their investments the client sold without reinvesting.</t>
  </si>
  <si>
    <t>(Sales − purchases, last 90d) ÷ average AUM</t>
  </si>
  <si>
    <t>• household_id, account_id
• trades: trade_date, side (buy/sell/redeem), amount
• order origin (client vs. advisor / model rebalance)
• daily AUM</t>
  </si>
  <si>
    <t>90d</t>
  </si>
  <si>
    <t>Exclude RMDs, agreed scheduled withdrawals and advisor-driven rebalancing sales.</t>
  </si>
  <si>
    <t>&gt; 20%</t>
  </si>
  <si>
    <t>Trade data exists; order origin may need mapping.</t>
  </si>
  <si>
    <t>Main disinvestment signal before an outflow.</t>
  </si>
  <si>
    <t>= max(0, Σ sales and redemptions − Σ purchases) over (t−90d, t] ÷ average daily AUM of the window.
Net selling is measured, so a rebalance (sell and repurchase) does not count.</t>
  </si>
  <si>
    <t>Relationship &amp; closures</t>
  </si>
  <si>
    <t>products_closed</t>
  </si>
  <si>
    <t>Number of products the client closed. Closing products is a visible contraction of the relationship.</t>
  </si>
  <si>
    <t>Number of products closed in the last 90d</t>
  </si>
  <si>
    <t>• household_id, account_id
• product code / product family
• account open and close dates, close reason</t>
  </si>
  <si>
    <t>Core banking + wealth</t>
  </si>
  <si>
    <t>90d, 180d</t>
  </si>
  <si>
    <t>Exclude renewed natural maturities (renewed CD), loans paid at term and product conversions or upgrades.</t>
  </si>
  <si>
    <t>≥ 1</t>
  </si>
  <si>
    <t>Account status and close dates are standard.</t>
  </si>
  <si>
    <t>Direct evidence of soft churn in progress.</t>
  </si>
  <si>
    <t>= number of distinct products (by product code) with close date over (t−W, t], at household level.</t>
  </si>
  <si>
    <t>Banker</t>
  </si>
  <si>
    <t>banker_change_6m_flag</t>
  </si>
  <si>
    <t>The client's banker changed in the last 6 months. Advisor change is one of the strongest leading indicators of asset flight.</t>
  </si>
  <si>
    <t>1 if the primary banker changed in the last 6 months</t>
  </si>
  <si>
    <t>• household_id
• banker assignment history: banker_id, role (primary), start and end dates
• reassignment reason</t>
  </si>
  <si>
    <t>CRM</t>
  </si>
  <si>
    <t>6m</t>
  </si>
  <si>
    <t>Exclude temporary coverage (&lt; 30 days, vacations or leaves).</t>
  </si>
  <si>
    <t>Assignment history is kept in CRM.</t>
  </si>
  <si>
    <t>Top leading indicator; easy to build.</t>
  </si>
  <si>
    <t>= 1 if the primary assigned banker_id changed over (t−6m, t].
The reason is also stored: banker departure, book rebalancing or client request.</t>
  </si>
  <si>
    <t>contact_gap_ratio</t>
  </si>
  <si>
    <t>How long the client has gone without meaningful contact, relative to the contact frequency agreed for them.</t>
  </si>
  <si>
    <t>Days since last meaningful contact ÷ agreed contact frequency (days)</t>
  </si>
  <si>
    <t>• CRM activities: type, date, direction, participants
• call logs: date, duration
• message threads: sent/replied timestamps
• agreed cadence / service tier</t>
  </si>
  <si>
    <t>CRM + telephony</t>
  </si>
  <si>
    <t>At snapshot</t>
  </si>
  <si>
    <t>Continuous (ratio)</t>
  </si>
  <si>
    <t>Exclude automated messages, marketing campaigns and mass mailings. Deck rule.</t>
  </si>
  <si>
    <t>&gt; 2.0</t>
  </si>
  <si>
    <t>Depends on the completeness of activity logging in CRM.</t>
  </si>
  <si>
    <t>Deck rule; main measure of neglect.</t>
  </si>
  <si>
    <t>= days since last meaningful contact ÷ agreed cadence in days.
Meaningful contact = meeting, call ≥ 5 min, or banker message with a client reply.
Cadence per service model (e.g. UHNW 30d, HNW 90d) or as agreed with the client.</t>
  </si>
  <si>
    <t>client_reply_rate</t>
  </si>
  <si>
    <t>How much the client responds when the banker reaches out. A client who stops answering is pulling away.</t>
  </si>
  <si>
    <t>Banker contacts answered by the client ÷ banker contacts, last 90d</t>
  </si>
  <si>
    <t>• banker outreach: channel, timestamp, recipient
• client replies / call backs: timestamp
• thread or case ID linking outreach and reply
• mass-mailing flag</t>
  </si>
  <si>
    <t>CRM + telephony + email</t>
  </si>
  <si>
    <t>Exclude mass mailings. Null if there were fewer than 3 banker contacts in the window (insufficient sample).</t>
  </si>
  <si>
    <t>&lt; 50%</t>
  </si>
  <si>
    <t>Linking outreach to replies across channels takes work.</t>
  </si>
  <si>
    <t>Captures disengagement before financial signals.</t>
  </si>
  <si>
    <t>= number of banker contacts (message, email, call) with a client reply within ≤ 7 days ÷ total banker contacts over (t−90d, t].</t>
  </si>
  <si>
    <t>Complaints &amp; voice of client</t>
  </si>
  <si>
    <t>complaint_escalated_flag</t>
  </si>
  <si>
    <t>The client escalated a complaint to management, the ombudsman or a regulator. It signals a breakdown of trust.</t>
  </si>
  <si>
    <t>1 if any complaint was escalated to management or a regulator in the last 12 months</t>
  </si>
  <si>
    <t>• complaint_id, household_id
• open date, close date, status
• escalation level, channel of receipt (regulator, legal)</t>
  </si>
  <si>
    <t>Complaints system</t>
  </si>
  <si>
    <t>12m</t>
  </si>
  <si>
    <t>Standardize the escalation-level taxonomy across systems.</t>
  </si>
  <si>
    <t>Escalation level is part of standard complaint handling.</t>
  </si>
  <si>
    <t>Strong and readily available.</t>
  </si>
  <si>
    <t>= 1 if any complaint over (t−12m, t] has an escalation level ≥ management / ombudsman, or was filed with a regulator (CFPB, OCC, state AG) or through legal channels.</t>
  </si>
  <si>
    <t>complaint_age_days</t>
  </si>
  <si>
    <t>How many days the client's oldest open complaint has been open. An unresolved complaint erodes the relationship every day.</t>
  </si>
  <si>
    <t>Days the oldest open complaint has been open</t>
  </si>
  <si>
    <t>• complaint_id, household_id
• open date, status, close date
• SLA target days</t>
  </si>
  <si>
    <t>Integer (days)</t>
  </si>
  <si>
    <t>Complemented by the out-of-SLA binary version, which the deck uses as an override.</t>
  </si>
  <si>
    <t>&gt; 30 days or out of SLA</t>
  </si>
  <si>
    <t>Standard complaint fields.</t>
  </si>
  <si>
    <t>Deck override signal; easy to build.</t>
  </si>
  <si>
    <t>= t − open date of the oldest open complaint.
0 if there are no open complaints (paired with open_complaint_flag to distinguish).</t>
  </si>
  <si>
    <t>External &amp; composite</t>
  </si>
  <si>
    <t>multi_signal_flag</t>
  </si>
  <si>
    <t>Several signals from different areas lit up at the same time. A single signal can be noise; several aligned indicate real deterioration.</t>
  </si>
  <si>
    <t>1 if 3 or more groups have an active alert in the last 30d</t>
  </si>
  <si>
    <t>• Alert flags of the other variables (derived)
• Alert thresholds (Parameters sheet)</t>
  </si>
  <si>
    <t>Derived</t>
  </si>
  <si>
    <t>30d</t>
  </si>
  <si>
    <t>Binary and integer</t>
  </si>
  <si>
    <t>Uses the thresholds in the 'Alert threshold' column; recalculated if thresholds are recalibrated. In ML use the count; in scoring, the binary version.</t>
  </si>
  <si>
    <t>≥ 3 groups</t>
  </si>
  <si>
    <t>Built after the other variables; no new data needed.</t>
  </si>
  <si>
    <t>Built on the P1 set; captures converging signals.</t>
  </si>
  <si>
    <t>= 1 if over (t−30d, t] at least 3 of the 7 groups have any variable above its alert threshold:
Balances &amp; AUM · Recurring deposits &amp; flows · Transfers · Investments · Relationship &amp; closures · Banker · Complaints &amp; voice of client.
Continuous version: number of active groups (0–7).</t>
  </si>
  <si>
    <t>P2</t>
  </si>
  <si>
    <t>aum_vs_baseline_pct</t>
  </si>
  <si>
    <t>How far today's AUM is from the client's own usual level, removing market effect. Compares the client against themselves, not against others.</t>
  </si>
  <si>
    <t>Current AUM (ex-market) ÷ average AUM (ex-market) of the prior 6 months − 1</t>
  </si>
  <si>
    <t>• household_id, account_id
• daily account market value
• daily time-weighted return (or daily flows to compute it)
• account open date (history length)</t>
  </si>
  <si>
    <t>Wealth / custody / performance</t>
  </si>
  <si>
    <t>6m baseline</t>
  </si>
  <si>
    <t>Dividing by the TWR index removes market effect, so the variable only moves with client flows. Null if less than 6m of history.</t>
  </si>
  <si>
    <t>≤ −20%</t>
  </si>
  <si>
    <t>Needs daily TWR per account from the performance system.</t>
  </si>
  <si>
    <t>Strong but overlaps with aum_outflow; depends on TWR availability.</t>
  </si>
  <si>
    <t>1) Ex-market AUM: AUMx_d = AUM_d ÷ TWR_Index_d, where TWR_Index is the cumulative time-weighted return of the client's own portfolio, based at 1.0 at the start of the 12m window.
2) aum_vs_baseline_pct = AUMx_t ÷ average(daily AUMx over (t−210d, t−30d]) − 1.</t>
  </si>
  <si>
    <t>deposit_balance_vs_6m_avg_pct</t>
  </si>
  <si>
    <t>Deposit balance over the last month versus the client's own average of the prior 6 months.</t>
  </si>
  <si>
    <t>Avg deposit balance (last 30d) ÷ avg deposit balance (prior 6 months) − 1</t>
  </si>
  <si>
    <t>• household_id, account_id
• product_type
• balance_date
• end-of-day ledger balance</t>
  </si>
  <si>
    <t>Overlaps with deposit_balance_change_pct: test both and keep the one with higher IV. Same minimum-denominator rule.</t>
  </si>
  <si>
    <t>≤ −30%</t>
  </si>
  <si>
    <t>Same data as deposit_balance_change_pct.</t>
  </si>
  <si>
    <t>Redundant pair; decide by IV.</t>
  </si>
  <si>
    <t>= average daily deposit balance over (t−30d, t] ÷ average daily deposit balance over (t−210d, t−30d] − 1.</t>
  </si>
  <si>
    <t>pension_deposit_stopped_flag</t>
  </si>
  <si>
    <t>The client stopped receiving their pension, Social Security or annuity at Citizens.</t>
  </si>
  <si>
    <t>1 if a regular pension / Social Security deposit has not arrived in the last 45 days</t>
  </si>
  <si>
    <t>• household_id, account_id
• ACH credit transactions: date, amount
• originator name / company ID (SSA, Treasury, pension plans)
• transaction description</t>
  </si>
  <si>
    <t>Death of the account holder is an exclusion, not churn. Subtype of recurring_deposit_stopped_flag: in the scorecard use the aggregate or the subtypes, not both.</t>
  </si>
  <si>
    <t>Same routine as payroll; needs a pension-originator list.</t>
  </si>
  <si>
    <t>Subtype already captured by the aggregate flag.</t>
  </si>
  <si>
    <t>Same algorithm as salary_deposit_stopped_flag, applied to pension originators: SSA / U.S. Treasury, pension plans and annuity insurers.
Flag = 1 if the deposit does not arrive within 1.5× its usual interval (minimum 45d).</t>
  </si>
  <si>
    <t>business_payroll_stopped_flag</t>
  </si>
  <si>
    <t>The client's business stopped running its payroll from Citizens; usually means it moved its operations to another bank.</t>
  </si>
  <si>
    <t>1 if the client's linked business has not run payroll from Citizens in the last 60 days</t>
  </si>
  <si>
    <t>• household_id ↔ business entity_id link
• business account ACH debit batches: date, amount, number of beneficiaries
• originator / payee name (payroll providers)</t>
  </si>
  <si>
    <t>Core banking / commercial + household graph</t>
  </si>
  <si>
    <t>1.5× interval (≈ 60d)</t>
  </si>
  <si>
    <t>Only applies to households with a linked business; for others it is null, not zero. Exclude known sale or closure of the company (liquidity event).</t>
  </si>
  <si>
    <t>Requires reliable personal ↔ business linkage and access to commercial data.</t>
  </si>
  <si>
    <t>Strong but only for a subset of households.</t>
  </si>
  <si>
    <t>1) For each business entity linked to the household, identify recurring payroll debits: ACH batches (PPD/CCD) to multiple beneficiaries, or debits from the payroll provider (ADP, Paychex, Gusto…).
2) Flag = 1 if the expected cycle does not occur within 1.5× its usual interval.</t>
  </si>
  <si>
    <t>transfer_to_competitor_bank_amount</t>
  </si>
  <si>
    <t>Amount the client sent specifically to competing banks.</t>
  </si>
  <si>
    <t>Money sent to competitor banks, last 90d</t>
  </si>
  <si>
    <t>• outgoing wires and ACH: date, amount
• beneficiary bank ABA / SWIFT
• competitor catalog (ABA/SWIFT → institution name, type)</t>
  </si>
  <si>
    <t>Core banking + catalog</t>
  </si>
  <si>
    <t>Requires building and maintaining the routing-number catalog (private banks, regional banks, digital banks). Brokers and wealth managers go in a separate catalog.</t>
  </si>
  <si>
    <t>&gt; 10% of balance</t>
  </si>
  <si>
    <t>The competitor catalog does not exist today and must be built.</t>
  </si>
  <si>
    <t>High value once the catalog exists.</t>
  </si>
  <si>
    <t>= Σ outgoing external transfers over (t−90d, t] whose destination ABA routing number or SWIFT belongs to the competitor-bank catalog.
Relative version: ÷ average balance of the window.</t>
  </si>
  <si>
    <t>external_transfer_acceleration</t>
  </si>
  <si>
    <t>Whether the pace at which the client takes money out is speeding up month over month. Detects flight before the amount becomes large.</t>
  </si>
  <si>
    <t>External outflows (last 30d) ÷ external outflows (prior 30d) − 1</t>
  </si>
  <si>
    <t>• outgoing external transfers: date, amount (same as external_transfer_pct_of_balance)
• average daily balance</t>
  </si>
  <si>
    <t>3 blocks of 30d</t>
  </si>
  <si>
    <t>Continuous</t>
  </si>
  <si>
    <t>Null if there are no outflows in the three blocks. Combine with a minimum amount to avoid noise from small amounts.</t>
  </si>
  <si>
    <t>&gt; 0 and A1 &gt; 5% of balance</t>
  </si>
  <si>
    <t>Derived from the same data as external transfers.</t>
  </si>
  <si>
    <t>Enhancement of the P1 transfer variable.</t>
  </si>
  <si>
    <t>With A1 = external outflows over (t−30d, t], A2 = over (t−60d, t−30d] and A3 = over (t−90d, t−60d]:
acceleration = [(A1 − A2) − (A2 − A3)] ÷ 90d average balance.
Positive = outflows are growing faster and faster.</t>
  </si>
  <si>
    <t>net_external_flow</t>
  </si>
  <si>
    <t>Net balance of money coming in from and going out to other institutions.</t>
  </si>
  <si>
    <t>Money in from other institutions − money out to other institutions, last 90d</t>
  </si>
  <si>
    <t>• incoming and outgoing wires / ACH: date, amount, direction
• counterparty institution (ABA / SWIFT)
• average daily balance</t>
  </si>
  <si>
    <t>Same exclusions as external_transfer_pct_of_balance. Negative and persistent = relationship being emptied.</t>
  </si>
  <si>
    <t>Standard payment data.</t>
  </si>
  <si>
    <t>Overlaps with net_deposit_flow.</t>
  </si>
  <si>
    <t>= Σ incoming external transfers − Σ outgoing external transfers over (t−W, t].
Relative version: ÷ average balance of the window.</t>
  </si>
  <si>
    <t>external_destination_concentration</t>
  </si>
  <si>
    <t>Whether the client's outflows go almost entirely to a single institution (a move) or are spread out (normal spending).</t>
  </si>
  <si>
    <t>% of external outflows that went to the single top destination institution, last 90d</t>
  </si>
  <si>
    <t>• outgoing external transfers: date, amount
• beneficiary ABA / SWIFT
• ABA → institution mapping (to group accounts by institution)</t>
  </si>
  <si>
    <t>Continuous (0–1)</t>
  </si>
  <si>
    <t>Null if there are no external outflows. Read together with the amount: high HHI with a small amount is not relevant.</t>
  </si>
  <si>
    <t>&gt; 0.7 with outflows &gt; 10% of balance</t>
  </si>
  <si>
    <t>Needs ABA → institution mapping (Fed E-Payments directory).</t>
  </si>
  <si>
    <t>Adds context to the P1 transfer variable.</t>
  </si>
  <si>
    <t>Herfindahl index of external outflows by destination institution over (t−90d, t]:
HHI = Σ sᵢ², where sᵢ = amount sent to institution i ÷ total sent.
Range 0–1; 1 = everything to a single institution.</t>
  </si>
  <si>
    <t>outflow_vs_baseline_pct</t>
  </si>
  <si>
    <t>How much the client is taking out this month versus what they normally take out.</t>
  </si>
  <si>
    <t>External outflows (last 30d) ÷ monthly average of the prior 6 months − 1</t>
  </si>
  <si>
    <t>• outgoing external transfers: date, amount (7m history)</t>
  </si>
  <si>
    <t>If the baseline is below a floor (e.g. $1,000/month), use the floor as denominator. Overlaps with external_transfer_pct_of_balance.</t>
  </si>
  <si>
    <t>&gt; +100%</t>
  </si>
  <si>
    <t>Same data as external transfers.</t>
  </si>
  <si>
    <t>= external outflows over (t−30d, t] ÷ average monthly external outflows over (t−210d, t−30d] − 1.</t>
  </si>
  <si>
    <t>fixed_income_maturity_not_reinvested</t>
  </si>
  <si>
    <t>Bonds or instruments that matured and whose money the client did not reinvest at Citizens.</t>
  </si>
  <si>
    <t>Matured bond principal not reinvested within 30 days ÷ total matured principal, last 90d</t>
  </si>
  <si>
    <t>• fixed-income holdings: security_id, maturity/call date, principal
• maturity / call transactions: date, amount
• subsequent purchases: date, amount</t>
  </si>
  <si>
    <t>% (fraction) and amount</t>
  </si>
  <si>
    <t>If the money stays as cash in the account, it counts as not reinvested but without outflow: combine with cash_pct_of_portfolio_chg and aum_outflow.</t>
  </si>
  <si>
    <t>&gt; 50% and material amount</t>
  </si>
  <si>
    <t>Requires linking maturity events with subsequent purchases.</t>
  </si>
  <si>
    <t>Relevant for fixed-income-heavy clients.</t>
  </si>
  <si>
    <t>= 1 − (Σ purchases of any asset within 30d after each maturity ÷ Σ principal matured or called), for maturities over (t−90d, t].
The non-reinvested amount is also stored.</t>
  </si>
  <si>
    <t>cash_pct_of_portfolio_chg</t>
  </si>
  <si>
    <t>How much the share of the portfolio held in cash increased. Selling to cash is often the step before transferring.</t>
  </si>
  <si>
    <t>Cash % of portfolio today − cash % of portfolio 6 months ago</t>
  </si>
  <si>
    <t>• daily holdings by asset class (cash, sweep, money market)
• daily total AUM</t>
  </si>
  <si>
    <t>Percentage points</t>
  </si>
  <si>
    <t>An increase can be a defensive strategy recommended by the banker: cross-check with advisor orders.</t>
  </si>
  <si>
    <t>&gt; +10 pp</t>
  </si>
  <si>
    <t>Asset-class allocation is standard in custody data.</t>
  </si>
  <si>
    <t>Useful lead signal, secondary to redemptions.</t>
  </si>
  <si>
    <t>= cash % at t − average cash % over (t−210d, t−30d], in percentage points.
Cash % = (cash + sweep + money market) ÷ total AUM.</t>
  </si>
  <si>
    <t>return_vs_benchmark</t>
  </si>
  <si>
    <t>Whether the client's portfolio underperformed its benchmark. Poor performance is a frequent reason for leaving.</t>
  </si>
  <si>
    <t>Portfolio return − benchmark return, last 12 months</t>
  </si>
  <si>
    <t>• account TWR net of fees
• assigned benchmark per account (IPS / risk profile)
• benchmark index returns</t>
  </si>
  <si>
    <t>Performance system</t>
  </si>
  <si>
    <t>6m, 12m</t>
  </si>
  <si>
    <t>Use the client's profile benchmark, not a general index. Null if the client has no advisory accounts.</t>
  </si>
  <si>
    <t>≤ −3 pp over 12m</t>
  </si>
  <si>
    <t>Benchmark assignment per account may be incomplete.</t>
  </si>
  <si>
    <t>Explains the 'why' of the risk; supports investment reviews.</t>
  </si>
  <si>
    <t>= time-weighted portfolio return, net of fees, over (t−W, t] − return of the benchmark assigned per the client's profile or IPS over the same period.</t>
  </si>
  <si>
    <t>accounts_closed</t>
  </si>
  <si>
    <t>Number of accounts the client closed.</t>
  </si>
  <si>
    <t>Number of accounts closed in the last 90d</t>
  </si>
  <si>
    <t>• household_id, account_id
• account open and close dates, close reason
• transfers at closing (to detect internal consolidation)</t>
  </si>
  <si>
    <t>Exclude internal consolidations: closed account whose balance moved to another account of the same household within ≤ 5 days. Overlaps with products_closed.</t>
  </si>
  <si>
    <t>Same data as products_closed.</t>
  </si>
  <si>
    <t>Redundant with products_closed.</t>
  </si>
  <si>
    <t>= number of accounts with close date over (t−W, t], at household level.</t>
  </si>
  <si>
    <t>share_of_wallet</t>
  </si>
  <si>
    <t>Share of the client's total wealth held at Citizens. A client with a small share can leave more easily.</t>
  </si>
  <si>
    <t>(AUM + deposits at Citizens) ÷ client's estimated total wealth</t>
  </si>
  <si>
    <t>• AUM and deposit balances
• declared total wealth (planning / KYC)
• vendor wealth estimate
• estimate source and date</t>
  </si>
  <si>
    <t>Derived (CRM + vendor)</t>
  </si>
  <si>
    <t>Current</t>
  </si>
  <si>
    <t>Store a column with the estimate source: quality varies greatly across clients.</t>
  </si>
  <si>
    <t>&lt; 30%</t>
  </si>
  <si>
    <t>Total wealth is not available or current for every client.</t>
  </si>
  <si>
    <t>Valuable context; data quality must be verified.</t>
  </si>
  <si>
    <t>= (AUM + deposits at Citizens) ÷ estimated total investable wealth, capped at 1.
Total wealth by priority: 1) declared in planning or KYC; 2) wealth-screening vendor estimate; 3) model estimate.</t>
  </si>
  <si>
    <t>share_of_wallet_change</t>
  </si>
  <si>
    <t>Whether Citizens is gaining or losing share of the client's wealth.</t>
  </si>
  <si>
    <t>Share of wallet today − share of wallet 6 months ago</t>
  </si>
  <si>
    <t>• share_of_wallet at t and t−6m
• total wealth estimate date</t>
  </si>
  <si>
    <t>Use the same total wealth at both points when there is no update; otherwise the change reflects the new estimate, not a client move.</t>
  </si>
  <si>
    <t>≤ −10 pp</t>
  </si>
  <si>
    <t>Inherits the quality of the total-wealth estimate.</t>
  </si>
  <si>
    <t>Strong, but depends on share_of_wallet quality.</t>
  </si>
  <si>
    <t>= share_of_wallet_t − share_of_wallet_(t−6m), in percentage points.</t>
  </si>
  <si>
    <t>trustee_change_flag</t>
  </si>
  <si>
    <t>The person or firm administering the client's trust changed, especially from Citizens to an external trustee. It means losing control of the asset.</t>
  </si>
  <si>
    <t>1 if Citizens stopped being trustee, or an external trustee was added, in the last 12 months</t>
  </si>
  <si>
    <t>• trust_id ↔ household_id link
• trust role table: role type, party, effective dates
• trust amendment / notice records</t>
  </si>
  <si>
    <t>Trust system</t>
  </si>
  <si>
    <t>Only applies to households with trusts; for others it is null. A successor trustee due to death is an exclusion, not churn.</t>
  </si>
  <si>
    <t>Role history must be kept with effective dates.</t>
  </si>
  <si>
    <t>Strong for trust clients; subset of households.</t>
  </si>
  <si>
    <t>= 1 if over (t−12m, t] in the trust role table: Citizens stops being trustee, an external co-trustee or successor trustee is appointed, or an amendment notice changing administration is received.</t>
  </si>
  <si>
    <t>repeat_complaint_flag</t>
  </si>
  <si>
    <t>The client complained more than once about the same issue: the problem was not fixed at the root.</t>
  </si>
  <si>
    <t>1 if 2 or more complaints of the same type in the last 12 months</t>
  </si>
  <si>
    <t>• complaint_id, household_id, open date
• complaint category (taxonomy level 2)
• reopen flag</t>
  </si>
  <si>
    <t>Depends on the quality of complaint categorization.</t>
  </si>
  <si>
    <t>Category quality varies.</t>
  </si>
  <si>
    <t>Useful; depends on taxonomy quality.</t>
  </si>
  <si>
    <t>= 1 if over (t−12m, t] there are ≥ 2 complaints of the same category (level 2 of the taxonomy) or any complaint was reopened.</t>
  </si>
  <si>
    <t>P3</t>
  </si>
  <si>
    <t>positions_liquidated_pct</t>
  </si>
  <si>
    <t>Share of the portfolio in positions the client sold completely and did not replace.</t>
  </si>
  <si>
    <t>Value of positions fully sold (last 90d) ÷ portfolio value 90 days ago</t>
  </si>
  <si>
    <t>• daily holdings: account_id, security_id, quantity, market value
• security asset class</t>
  </si>
  <si>
    <t>Overlaps with investment_redemption_pct: test both. Exclude fixed-income maturities (they have their own variable).</t>
  </si>
  <si>
    <t>&gt; 15%</t>
  </si>
  <si>
    <t>Needs daily position-level holdings and asset-class mapping.</t>
  </si>
  <si>
    <t>Redundant with investment_redemption_pct and harder to build.</t>
  </si>
  <si>
    <t>= Σ market value at the start of the window of positions that reached zero over (t−90d, t] and were not replaced by another position of the same asset class ÷ total portfolio value at the start of the window.</t>
  </si>
  <si>
    <t>meetings_cancelled_by_client</t>
  </si>
  <si>
    <t>Meetings the client cancelled or postponed. Avoiding the banker is an active form of pulling away.</t>
  </si>
  <si>
    <t>Number of meetings cancelled by the client, last 6 months</t>
  </si>
  <si>
    <t>• CRM meetings: scheduled date, status
• cancelled_by / rescheduled_by field
• household_id</t>
  </si>
  <si>
    <t>Integer and %</t>
  </si>
  <si>
    <t>Requires CRM to record who cancelled. If that field does not exist, the variable must be built going forward.</t>
  </si>
  <si>
    <t>≥ 2, or ≥ 50% of scheduled</t>
  </si>
  <si>
    <t>Low</t>
  </si>
  <si>
    <t>The 'cancelled by' field is often not captured.</t>
  </si>
  <si>
    <t>Good signal, but likely no reliable history.</t>
  </si>
  <si>
    <t>= number of CRM meetings with status cancelled or rescheduled at the client's initiative over (t−6m, t].
Relative version: ÷ meetings scheduled in the window.</t>
  </si>
  <si>
    <t>relationship_dissatisfaction_flag</t>
  </si>
  <si>
    <t>The client explicitly expressed dissatisfaction with the relationship in conversations with the assistant or the banker.</t>
  </si>
  <si>
    <t>1 if the Assistant detected dissatisfaction (confirmed by a person) in the last 30d</t>
  </si>
  <si>
    <t>• conversation / note text, timestamp, household_id
• classifier label and confidence
• human review outcome</t>
  </si>
  <si>
    <t>Client Assistant / NLP</t>
  </si>
  <si>
    <t>No history until the Assistant is in production. A version based on CRM notes could exist earlier, with lower precision.</t>
  </si>
  <si>
    <t>Requires the Assistant in production and labeled history.</t>
  </si>
  <si>
    <t>Enters at retraining once history exists.</t>
  </si>
  <si>
    <t>= 1 if over (t−30d, t] the Client Assistant NLP classifier (or banker-note NLP) detected dissatisfaction with the relationship with confidence ≥ threshold, and a human confirmed it.</t>
  </si>
  <si>
    <t>bureau_new_mortgage_elsewhere</t>
  </si>
  <si>
    <t>The client opened a mortgage or HELOC with another institution. It often pulls deposits and other products with it.</t>
  </si>
  <si>
    <t>1 if the credit bureau shows a new mortgage with another lender in the last 6 months</t>
  </si>
  <si>
    <t>• bureau tradelines: account type, creditor, open date, balance
• consumer consent / permissible-purpose record</t>
  </si>
  <si>
    <t>Credit bureau</t>
  </si>
  <si>
    <t>Requires permissible purpose under FCRA (e.g. existing-account review) and legal validation before use.</t>
  </si>
  <si>
    <t>Legal path and bureau contract needed.</t>
  </si>
  <si>
    <t>Strong, but blocked until legal clearance.</t>
  </si>
  <si>
    <t>= 1 if the credit bureau report shows a mortgage or HELOC tradeline with open date over (t−6m, t] and a creditor other than Citizens.</t>
  </si>
  <si>
    <t>How priority and feasibility are defined</t>
  </si>
  <si>
    <t>1 · Predictive strength (expert prior, to be validated with IV / SHAP)</t>
  </si>
  <si>
    <t>Level</t>
  </si>
  <si>
    <t>Definition</t>
  </si>
  <si>
    <t>Direct precursor of exit: the client is already moving money, closing products, or lost their banker.</t>
  </si>
  <si>
    <t>Clear and consistent deterioration of the relationship: contraction, neglect or serious friction.</t>
  </si>
  <si>
    <t>2 · Feasibility (how hard it is to build the variable with Citizens' data)</t>
  </si>
  <si>
    <t>Typical examples</t>
  </si>
  <si>
    <t>Raw data already exists in core systems (core banking, CRM, complaints) and the logic is a direct aggregation.</t>
  </si>
  <si>
    <t>Balances, account closures, banker assignment history, complaint dates</t>
  </si>
  <si>
    <t>Data exists but needs derived logic, entity linkage, a reference catalog, or depends on data-quality checks.</t>
  </si>
  <si>
    <t>Recurring-deposit detection, TWR index, competitor ABA catalog, CRM activity completeness</t>
  </si>
  <si>
    <t>Requires a new data source, a field not captured today, legal clearance, or the Client Assistant in production.</t>
  </si>
  <si>
    <t>Bureau data (FCRA), Assistant NLP signals, 'cancelled by' field in CRM</t>
  </si>
  <si>
    <t>3 · Priority (combines predictive strength, feasibility and redundancy)</t>
  </si>
  <si>
    <t>Rule</t>
  </si>
  <si>
    <t>Meaning for the build plan</t>
  </si>
  <si>
    <t>Very high or high predictive strength + High or Medium feasibility + not redundant with another variable in the set.</t>
  </si>
  <si>
    <t>Wave 1: extract and build first; core of the first scorecard and ML baseline.</t>
  </si>
  <si>
    <t>High predictive strength but (a) redundant with a P1 variable, (b) applies only to a subset of households, or (c) needs a catalog or data-quality work first.</t>
  </si>
  <si>
    <t>Wave 2: build after P1; keep if it adds IV / SHAP lift over its P1 pair.</t>
  </si>
  <si>
    <t>Low feasibility (no history, new field, or legal path pending), or redundant and harder to build.</t>
  </si>
  <si>
    <t>Wave 3: build going forward or once the blocker is cleared; enters at retraining.</t>
  </si>
  <si>
    <t>Summary by group and priority (formulas on Variables sheet)</t>
  </si>
  <si>
    <t>Total</t>
  </si>
  <si>
    <t>High feasibility</t>
  </si>
  <si>
    <t>Medium feasibility</t>
  </si>
  <si>
    <t>Low feasibility</t>
  </si>
  <si>
    <t>Common definitions for all variables</t>
  </si>
  <si>
    <t>Concept</t>
  </si>
  <si>
    <t>t (snapshot_date)</t>
  </si>
  <si>
    <t>Monthly cut-off date. Every variable uses only information dated ≤ t.</t>
  </si>
  <si>
    <t>Window (t−W, t]</t>
  </si>
  <si>
    <t>Period of W days ending at t, excluding day t−W. Example: 30d = the 30 days before the cut-off.</t>
  </si>
  <si>
    <t>Own baseline (6m)</t>
  </si>
  <si>
    <t>The client's own average over (t−210d, t−30d]: the prior 6 months, excluding the last month so the recent drop does not contaminate the reference.</t>
  </si>
  <si>
    <t>Aggregation level</t>
  </si>
  <si>
    <t>All variables are computed at household level: they add up accounts of all people and linked entities (trusts, LLCs, businesses).</t>
  </si>
  <si>
    <t>Average daily balance</t>
  </si>
  <si>
    <t>Average of end-of-day balances for each calendar day in the window (weekends repeat the last business-day balance).</t>
  </si>
  <si>
    <t>Deposits</t>
  </si>
  <si>
    <t>Checking, savings, money market and CDs.</t>
  </si>
  <si>
    <t>AUM</t>
  </si>
  <si>
    <t>Market value of investment, custody and trust accounts administered by Citizens.</t>
  </si>
  <si>
    <t>Ex-market AUM</t>
  </si>
  <si>
    <t>AUMx_d = AUM_d ÷ TWR_Index_d. The index compounds the client portfolio's time-weighted return; dividing by it leaves only changes driven by flows (contributions and withdrawals).</t>
  </si>
  <si>
    <t>External transfer</t>
  </si>
  <si>
    <t>Outgoing wire, client-originated ACH to an account at another institution, transfer to the client's own external account, or ACATS. Excludes payments to merchants / billers, taxes, loan payments to Citizens and identified recurring donations.</t>
  </si>
  <si>
    <t>Internal transfer</t>
  </si>
  <si>
    <t>Movement between accounts of the same household within Citizens. Never counts as an outflow.</t>
  </si>
  <si>
    <t>Recurring stream</t>
  </si>
  <si>
    <t>Credits from the same originator with ≥ 3 occurrences in the identification window and coefficient of variation of intervals &lt; 0.25.</t>
  </si>
  <si>
    <t>Meaningful contact</t>
  </si>
  <si>
    <t>Meeting, call ≥ 5 minutes, or banker message with a client reply. Excludes automated messages, campaigns and mass mailings.</t>
  </si>
  <si>
    <t>Minimum denominator</t>
  </si>
  <si>
    <t>If the denominator of a % is below the defined floor → the variable is null, not zero or infinite.</t>
  </si>
  <si>
    <t>Null vs. zero</t>
  </si>
  <si>
    <t>Null = the variable does not apply or there is no data (e.g. household without a linked business). Zero = it applies and the value is zero. Zeros are never imputed.</t>
  </si>
  <si>
    <t>Simplified calculation</t>
  </si>
  <si>
    <t>Uses one default window per variable and states the core formula only. Exclusions and edge cases are in 'Considerations &amp; exclusions'; full logic is in 'Detailed logic'.</t>
  </si>
  <si>
    <t>Alert threshold</t>
  </si>
  <si>
    <t>Illustrative values to start the scorecard binning and the multi_signal_flag. Recalibrated on Citizens' labeled history (WoE / IV).</t>
  </si>
  <si>
    <t>Parameters to calibrate with Citizens</t>
  </si>
  <si>
    <t>Parameter</t>
  </si>
  <si>
    <t>Initial value</t>
  </si>
  <si>
    <t>Used in</t>
  </si>
  <si>
    <t>Days without payroll / pension</t>
  </si>
  <si>
    <t>45 days or 1.5× interval</t>
  </si>
  <si>
    <t>salary / pension / recurring_deposit_stopped_flag</t>
  </si>
  <si>
    <t>Minimum weight of a recurring stream</t>
  </si>
  <si>
    <t>10% of recurring income</t>
  </si>
  <si>
    <t>Payroll replacement (job change)</t>
  </si>
  <si>
    <t>≥ 50% of prior amount</t>
  </si>
  <si>
    <t>Recurring deposit drop</t>
  </si>
  <si>
    <t>−40%</t>
  </si>
  <si>
    <t>External outflows ÷ balance</t>
  </si>
  <si>
    <t>15% over 60d</t>
  </si>
  <si>
    <t>Minimum cumulative amount per new destination</t>
  </si>
  <si>
    <t>$10,000</t>
  </si>
  <si>
    <t>Outflow baseline floor</t>
  </si>
  <si>
    <t>$1,000 / month</t>
  </si>
  <si>
    <t>Minimum balance for %</t>
  </si>
  <si>
    <t>deposit_balance_change_pct, deposit_balance_vs_6m_avg_pct</t>
  </si>
  <si>
    <t>Reinvestment window</t>
  </si>
  <si>
    <t>30 days</t>
  </si>
  <si>
    <t>Internal account consolidation</t>
  </si>
  <si>
    <t>≤ 5 days</t>
  </si>
  <si>
    <t>Contact cadence</t>
  </si>
  <si>
    <t>UHNW 30d · HNW 90d (or as agreed)</t>
  </si>
  <si>
    <t>Minimum meaningful call duration</t>
  </si>
  <si>
    <t>5 minutes</t>
  </si>
  <si>
    <t>Client reply window</t>
  </si>
  <si>
    <t>7 days</t>
  </si>
  <si>
    <t>Minimum banker contacts</t>
  </si>
  <si>
    <t>3 over 90d</t>
  </si>
  <si>
    <t>Temporary coverage not counted as change</t>
  </si>
  <si>
    <t>&lt; 30 days</t>
  </si>
  <si>
    <t>Groups for multi-signal</t>
  </si>
  <si>
    <t>≥ 3 of 7</t>
  </si>
  <si>
    <t>Blue values = initial team assumptions, pending calibration on Citizens' history.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</si>
</sst>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Consolas"/>
      <charset val="1"/>
    </font>
    <font>
      <b/>
      <sz val="10"/>
      <color rgb="FF1F3864"/>
      <name val="Arial"/>
      <charset val="1"/>
    </font>
    <font>
      <sz val="9"/>
      <color rgb="FF595959"/>
      <name val="Arial"/>
      <charset val="1"/>
    </font>
    <font>
      <b/>
      <sz val="10"/>
      <color rgb="FF000000"/>
      <name val="Arial"/>
      <charset val="1"/>
    </font>
    <font>
      <b/>
      <sz val="13"/>
      <color rgb="FF1F3864"/>
      <name val="Arial"/>
      <charset val="1"/>
    </font>
    <font>
      <b/>
      <sz val="11"/>
      <color rgb="FF1F3864"/>
      <name val="Arial"/>
      <charset val="1"/>
    </font>
    <font>
      <sz val="10"/>
      <color rgb="FF0000FF"/>
      <name val="Arial"/>
      <charset val="1"/>
    </font>
    <font>
      <i/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2F6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F8CBAD"/>
        <bgColor rgb="FFFFC7CE"/>
      </patternFill>
    </fill>
    <fill>
      <patternFill patternType="solid">
        <fgColor rgb="FFEDEDED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BFBFBF"/>
        <bgColor rgb="FFF8CBAD"/>
      </patternFill>
    </fill>
    <fill>
      <patternFill patternType="solid">
        <fgColor rgb="FFFFC7CE"/>
        <bgColor rgb="FFF8CBAD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vertical="top" wrapText="1"/>
    </xf>
    <xf numFmtId="0" fontId="1" fillId="14" borderId="1" xfId="0" applyFont="1" applyFill="1" applyBorder="1" applyAlignment="1">
      <alignment horizontal="center" vertical="top" wrapText="1"/>
    </xf>
    <xf numFmtId="0" fontId="7" fillId="15" borderId="1" xfId="0" applyFont="1" applyFill="1" applyBorder="1" applyAlignment="1">
      <alignment horizontal="center" vertical="top" wrapText="1"/>
    </xf>
    <xf numFmtId="0" fontId="3" fillId="16" borderId="1" xfId="0" applyFont="1" applyFill="1" applyBorder="1" applyAlignment="1">
      <alignment horizontal="center" vertical="top" wrapText="1"/>
    </xf>
    <xf numFmtId="0" fontId="8" fillId="0" borderId="0" xfId="0" applyFont="1"/>
    <xf numFmtId="0" fontId="9" fillId="0" borderId="0" xfId="0" applyFont="1"/>
    <xf numFmtId="0" fontId="1" fillId="2" borderId="0" xfId="0" applyFont="1" applyFill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14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2F6"/>
      <rgbColor rgb="FFFFC7CE"/>
      <rgbColor rgb="FFFCE4D6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328125" defaultRowHeight="14.5" x14ac:dyDescent="0.35"/>
  <cols>
    <col min="1" max="1" width="4" customWidth="1"/>
    <col min="2" max="2" width="9" customWidth="1"/>
    <col min="3" max="3" width="18" customWidth="1"/>
    <col min="4" max="4" width="32" customWidth="1"/>
    <col min="5" max="5" width="40" customWidth="1"/>
    <col min="6" max="7" width="46" customWidth="1"/>
    <col min="8" max="8" width="18" customWidth="1"/>
    <col min="9" max="10" width="14" customWidth="1"/>
    <col min="11" max="11" width="44" customWidth="1"/>
    <col min="12" max="12" width="20" customWidth="1"/>
    <col min="13" max="14" width="12" customWidth="1"/>
    <col min="15" max="15" width="32" customWidth="1"/>
    <col min="16" max="16" width="34" customWidth="1"/>
    <col min="17" max="17" width="68" customWidth="1"/>
  </cols>
  <sheetData>
    <row r="1" spans="1:1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7.5" x14ac:dyDescent="0.35">
      <c r="A2" s="2">
        <v>1</v>
      </c>
      <c r="B2" s="3" t="s">
        <v>17</v>
      </c>
      <c r="C2" s="4" t="s">
        <v>18</v>
      </c>
      <c r="D2" s="5" t="s">
        <v>19</v>
      </c>
      <c r="E2" s="6" t="s">
        <v>20</v>
      </c>
      <c r="F2" s="7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6" t="s">
        <v>27</v>
      </c>
      <c r="M2" s="8" t="s">
        <v>28</v>
      </c>
      <c r="N2" s="9" t="s">
        <v>29</v>
      </c>
      <c r="O2" s="6" t="s">
        <v>30</v>
      </c>
      <c r="P2" s="6" t="s">
        <v>31</v>
      </c>
      <c r="Q2" s="10" t="s">
        <v>32</v>
      </c>
    </row>
    <row r="3" spans="1:17" ht="50" x14ac:dyDescent="0.35">
      <c r="A3" s="2">
        <v>2</v>
      </c>
      <c r="B3" s="3" t="s">
        <v>17</v>
      </c>
      <c r="C3" s="4" t="s">
        <v>18</v>
      </c>
      <c r="D3" s="5" t="s">
        <v>33</v>
      </c>
      <c r="E3" s="6" t="s">
        <v>34</v>
      </c>
      <c r="F3" s="7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8" t="s">
        <v>28</v>
      </c>
      <c r="N3" s="11" t="s">
        <v>28</v>
      </c>
      <c r="O3" s="6" t="s">
        <v>42</v>
      </c>
      <c r="P3" s="6" t="s">
        <v>43</v>
      </c>
      <c r="Q3" s="10" t="s">
        <v>44</v>
      </c>
    </row>
    <row r="4" spans="1:17" ht="69" x14ac:dyDescent="0.35">
      <c r="A4" s="2">
        <v>3</v>
      </c>
      <c r="B4" s="3" t="s">
        <v>17</v>
      </c>
      <c r="C4" s="12" t="s">
        <v>45</v>
      </c>
      <c r="D4" s="5" t="s">
        <v>46</v>
      </c>
      <c r="E4" s="6" t="s">
        <v>47</v>
      </c>
      <c r="F4" s="7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  <c r="L4" s="6" t="s">
        <v>54</v>
      </c>
      <c r="M4" s="13" t="s">
        <v>55</v>
      </c>
      <c r="N4" s="9" t="s">
        <v>29</v>
      </c>
      <c r="O4" s="6" t="s">
        <v>56</v>
      </c>
      <c r="P4" s="6" t="s">
        <v>57</v>
      </c>
      <c r="Q4" s="10" t="s">
        <v>58</v>
      </c>
    </row>
    <row r="5" spans="1:17" ht="50" x14ac:dyDescent="0.35">
      <c r="A5" s="2">
        <v>4</v>
      </c>
      <c r="B5" s="3" t="s">
        <v>17</v>
      </c>
      <c r="C5" s="12" t="s">
        <v>45</v>
      </c>
      <c r="D5" s="5" t="s">
        <v>59</v>
      </c>
      <c r="E5" s="6" t="s">
        <v>60</v>
      </c>
      <c r="F5" s="7" t="s">
        <v>61</v>
      </c>
      <c r="G5" s="6" t="s">
        <v>62</v>
      </c>
      <c r="H5" s="6" t="s">
        <v>63</v>
      </c>
      <c r="I5" s="6" t="s">
        <v>64</v>
      </c>
      <c r="J5" s="6" t="s">
        <v>52</v>
      </c>
      <c r="K5" s="6" t="s">
        <v>65</v>
      </c>
      <c r="L5" s="6" t="s">
        <v>54</v>
      </c>
      <c r="M5" s="8" t="s">
        <v>28</v>
      </c>
      <c r="N5" s="9" t="s">
        <v>29</v>
      </c>
      <c r="O5" s="6" t="s">
        <v>66</v>
      </c>
      <c r="P5" s="6" t="s">
        <v>67</v>
      </c>
      <c r="Q5" s="10" t="s">
        <v>68</v>
      </c>
    </row>
    <row r="6" spans="1:17" ht="37.5" x14ac:dyDescent="0.35">
      <c r="A6" s="2">
        <v>5</v>
      </c>
      <c r="B6" s="3" t="s">
        <v>17</v>
      </c>
      <c r="C6" s="12" t="s">
        <v>45</v>
      </c>
      <c r="D6" s="5" t="s">
        <v>69</v>
      </c>
      <c r="E6" s="6" t="s">
        <v>70</v>
      </c>
      <c r="F6" s="7" t="s">
        <v>71</v>
      </c>
      <c r="G6" s="6" t="s">
        <v>72</v>
      </c>
      <c r="H6" s="6" t="s">
        <v>37</v>
      </c>
      <c r="I6" s="6" t="s">
        <v>73</v>
      </c>
      <c r="J6" s="6" t="s">
        <v>39</v>
      </c>
      <c r="K6" s="6" t="s">
        <v>74</v>
      </c>
      <c r="L6" s="6" t="s">
        <v>75</v>
      </c>
      <c r="M6" s="8" t="s">
        <v>28</v>
      </c>
      <c r="N6" s="9" t="s">
        <v>29</v>
      </c>
      <c r="O6" s="6" t="s">
        <v>76</v>
      </c>
      <c r="P6" s="6" t="s">
        <v>77</v>
      </c>
      <c r="Q6" s="10" t="s">
        <v>78</v>
      </c>
    </row>
    <row r="7" spans="1:17" ht="37.5" x14ac:dyDescent="0.35">
      <c r="A7" s="2">
        <v>6</v>
      </c>
      <c r="B7" s="3" t="s">
        <v>17</v>
      </c>
      <c r="C7" s="12" t="s">
        <v>45</v>
      </c>
      <c r="D7" s="5" t="s">
        <v>79</v>
      </c>
      <c r="E7" s="6" t="s">
        <v>80</v>
      </c>
      <c r="F7" s="7" t="s">
        <v>81</v>
      </c>
      <c r="G7" s="6" t="s">
        <v>82</v>
      </c>
      <c r="H7" s="6" t="s">
        <v>37</v>
      </c>
      <c r="I7" s="6" t="s">
        <v>24</v>
      </c>
      <c r="J7" s="6" t="s">
        <v>25</v>
      </c>
      <c r="K7" s="6" t="s">
        <v>83</v>
      </c>
      <c r="L7" s="6" t="s">
        <v>84</v>
      </c>
      <c r="M7" s="8" t="s">
        <v>28</v>
      </c>
      <c r="N7" s="11" t="s">
        <v>28</v>
      </c>
      <c r="O7" s="6" t="s">
        <v>85</v>
      </c>
      <c r="P7" s="6" t="s">
        <v>86</v>
      </c>
      <c r="Q7" s="10" t="s">
        <v>87</v>
      </c>
    </row>
    <row r="8" spans="1:17" ht="87.5" x14ac:dyDescent="0.35">
      <c r="A8" s="2">
        <v>7</v>
      </c>
      <c r="B8" s="3" t="s">
        <v>17</v>
      </c>
      <c r="C8" s="14" t="s">
        <v>88</v>
      </c>
      <c r="D8" s="5" t="s">
        <v>89</v>
      </c>
      <c r="E8" s="6" t="s">
        <v>90</v>
      </c>
      <c r="F8" s="7" t="s">
        <v>91</v>
      </c>
      <c r="G8" s="6" t="s">
        <v>92</v>
      </c>
      <c r="H8" s="6" t="s">
        <v>93</v>
      </c>
      <c r="I8" s="6" t="s">
        <v>94</v>
      </c>
      <c r="J8" s="6" t="s">
        <v>39</v>
      </c>
      <c r="K8" s="6" t="s">
        <v>95</v>
      </c>
      <c r="L8" s="6" t="s">
        <v>96</v>
      </c>
      <c r="M8" s="13" t="s">
        <v>55</v>
      </c>
      <c r="N8" s="11" t="s">
        <v>28</v>
      </c>
      <c r="O8" s="6" t="s">
        <v>97</v>
      </c>
      <c r="P8" s="6" t="s">
        <v>98</v>
      </c>
      <c r="Q8" s="10" t="s">
        <v>99</v>
      </c>
    </row>
    <row r="9" spans="1:17" ht="50" x14ac:dyDescent="0.35">
      <c r="A9" s="2">
        <v>8</v>
      </c>
      <c r="B9" s="3" t="s">
        <v>17</v>
      </c>
      <c r="C9" s="14" t="s">
        <v>88</v>
      </c>
      <c r="D9" s="5" t="s">
        <v>100</v>
      </c>
      <c r="E9" s="6" t="s">
        <v>101</v>
      </c>
      <c r="F9" s="7" t="s">
        <v>102</v>
      </c>
      <c r="G9" s="6" t="s">
        <v>103</v>
      </c>
      <c r="H9" s="6" t="s">
        <v>93</v>
      </c>
      <c r="I9" s="6" t="s">
        <v>24</v>
      </c>
      <c r="J9" s="6" t="s">
        <v>104</v>
      </c>
      <c r="K9" s="6" t="s">
        <v>105</v>
      </c>
      <c r="L9" s="6" t="s">
        <v>106</v>
      </c>
      <c r="M9" s="8" t="s">
        <v>28</v>
      </c>
      <c r="N9" s="11" t="s">
        <v>28</v>
      </c>
      <c r="O9" s="6" t="s">
        <v>107</v>
      </c>
      <c r="P9" s="6" t="s">
        <v>108</v>
      </c>
      <c r="Q9" s="10" t="s">
        <v>109</v>
      </c>
    </row>
    <row r="10" spans="1:17" ht="50" x14ac:dyDescent="0.35">
      <c r="A10" s="2">
        <v>9</v>
      </c>
      <c r="B10" s="3" t="s">
        <v>17</v>
      </c>
      <c r="C10" s="15" t="s">
        <v>110</v>
      </c>
      <c r="D10" s="5" t="s">
        <v>111</v>
      </c>
      <c r="E10" s="6" t="s">
        <v>112</v>
      </c>
      <c r="F10" s="7" t="s">
        <v>113</v>
      </c>
      <c r="G10" s="6" t="s">
        <v>114</v>
      </c>
      <c r="H10" s="6" t="s">
        <v>23</v>
      </c>
      <c r="I10" s="6" t="s">
        <v>115</v>
      </c>
      <c r="J10" s="6" t="s">
        <v>39</v>
      </c>
      <c r="K10" s="6" t="s">
        <v>116</v>
      </c>
      <c r="L10" s="6" t="s">
        <v>117</v>
      </c>
      <c r="M10" s="8" t="s">
        <v>28</v>
      </c>
      <c r="N10" s="9" t="s">
        <v>29</v>
      </c>
      <c r="O10" s="6" t="s">
        <v>118</v>
      </c>
      <c r="P10" s="6" t="s">
        <v>119</v>
      </c>
      <c r="Q10" s="10" t="s">
        <v>120</v>
      </c>
    </row>
    <row r="11" spans="1:17" ht="37.5" x14ac:dyDescent="0.35">
      <c r="A11" s="2">
        <v>10</v>
      </c>
      <c r="B11" s="3" t="s">
        <v>17</v>
      </c>
      <c r="C11" s="16" t="s">
        <v>121</v>
      </c>
      <c r="D11" s="5" t="s">
        <v>122</v>
      </c>
      <c r="E11" s="6" t="s">
        <v>123</v>
      </c>
      <c r="F11" s="7" t="s">
        <v>124</v>
      </c>
      <c r="G11" s="6" t="s">
        <v>125</v>
      </c>
      <c r="H11" s="6" t="s">
        <v>126</v>
      </c>
      <c r="I11" s="6" t="s">
        <v>127</v>
      </c>
      <c r="J11" s="6" t="s">
        <v>104</v>
      </c>
      <c r="K11" s="6" t="s">
        <v>128</v>
      </c>
      <c r="L11" s="6" t="s">
        <v>129</v>
      </c>
      <c r="M11" s="13" t="s">
        <v>55</v>
      </c>
      <c r="N11" s="11" t="s">
        <v>28</v>
      </c>
      <c r="O11" s="6" t="s">
        <v>130</v>
      </c>
      <c r="P11" s="6" t="s">
        <v>131</v>
      </c>
      <c r="Q11" s="10" t="s">
        <v>132</v>
      </c>
    </row>
    <row r="12" spans="1:17" ht="50" x14ac:dyDescent="0.35">
      <c r="A12" s="2">
        <v>11</v>
      </c>
      <c r="B12" s="3" t="s">
        <v>17</v>
      </c>
      <c r="C12" s="17" t="s">
        <v>133</v>
      </c>
      <c r="D12" s="5" t="s">
        <v>134</v>
      </c>
      <c r="E12" s="6" t="s">
        <v>135</v>
      </c>
      <c r="F12" s="7" t="s">
        <v>136</v>
      </c>
      <c r="G12" s="6" t="s">
        <v>137</v>
      </c>
      <c r="H12" s="6" t="s">
        <v>138</v>
      </c>
      <c r="I12" s="6" t="s">
        <v>139</v>
      </c>
      <c r="J12" s="6" t="s">
        <v>52</v>
      </c>
      <c r="K12" s="6" t="s">
        <v>140</v>
      </c>
      <c r="L12" s="6" t="s">
        <v>54</v>
      </c>
      <c r="M12" s="13" t="s">
        <v>55</v>
      </c>
      <c r="N12" s="11" t="s">
        <v>28</v>
      </c>
      <c r="O12" s="6" t="s">
        <v>141</v>
      </c>
      <c r="P12" s="6" t="s">
        <v>142</v>
      </c>
      <c r="Q12" s="10" t="s">
        <v>143</v>
      </c>
    </row>
    <row r="13" spans="1:17" ht="50" x14ac:dyDescent="0.35">
      <c r="A13" s="2">
        <v>12</v>
      </c>
      <c r="B13" s="3" t="s">
        <v>17</v>
      </c>
      <c r="C13" s="17" t="s">
        <v>133</v>
      </c>
      <c r="D13" s="5" t="s">
        <v>144</v>
      </c>
      <c r="E13" s="6" t="s">
        <v>145</v>
      </c>
      <c r="F13" s="7" t="s">
        <v>146</v>
      </c>
      <c r="G13" s="6" t="s">
        <v>147</v>
      </c>
      <c r="H13" s="6" t="s">
        <v>148</v>
      </c>
      <c r="I13" s="6" t="s">
        <v>149</v>
      </c>
      <c r="J13" s="6" t="s">
        <v>150</v>
      </c>
      <c r="K13" s="6" t="s">
        <v>151</v>
      </c>
      <c r="L13" s="6" t="s">
        <v>152</v>
      </c>
      <c r="M13" s="8" t="s">
        <v>28</v>
      </c>
      <c r="N13" s="9" t="s">
        <v>29</v>
      </c>
      <c r="O13" s="6" t="s">
        <v>153</v>
      </c>
      <c r="P13" s="6" t="s">
        <v>154</v>
      </c>
      <c r="Q13" s="10" t="s">
        <v>155</v>
      </c>
    </row>
    <row r="14" spans="1:17" ht="50" x14ac:dyDescent="0.35">
      <c r="A14" s="2">
        <v>13</v>
      </c>
      <c r="B14" s="3" t="s">
        <v>17</v>
      </c>
      <c r="C14" s="17" t="s">
        <v>133</v>
      </c>
      <c r="D14" s="5" t="s">
        <v>156</v>
      </c>
      <c r="E14" s="6" t="s">
        <v>157</v>
      </c>
      <c r="F14" s="7" t="s">
        <v>158</v>
      </c>
      <c r="G14" s="6" t="s">
        <v>159</v>
      </c>
      <c r="H14" s="6" t="s">
        <v>160</v>
      </c>
      <c r="I14" s="6" t="s">
        <v>115</v>
      </c>
      <c r="J14" s="6" t="s">
        <v>39</v>
      </c>
      <c r="K14" s="6" t="s">
        <v>161</v>
      </c>
      <c r="L14" s="6" t="s">
        <v>162</v>
      </c>
      <c r="M14" s="8" t="s">
        <v>28</v>
      </c>
      <c r="N14" s="9" t="s">
        <v>29</v>
      </c>
      <c r="O14" s="6" t="s">
        <v>163</v>
      </c>
      <c r="P14" s="6" t="s">
        <v>164</v>
      </c>
      <c r="Q14" s="10" t="s">
        <v>165</v>
      </c>
    </row>
    <row r="15" spans="1:17" ht="37.5" x14ac:dyDescent="0.35">
      <c r="A15" s="2">
        <v>14</v>
      </c>
      <c r="B15" s="3" t="s">
        <v>17</v>
      </c>
      <c r="C15" s="18" t="s">
        <v>166</v>
      </c>
      <c r="D15" s="5" t="s">
        <v>167</v>
      </c>
      <c r="E15" s="6" t="s">
        <v>168</v>
      </c>
      <c r="F15" s="7" t="s">
        <v>169</v>
      </c>
      <c r="G15" s="6" t="s">
        <v>170</v>
      </c>
      <c r="H15" s="6" t="s">
        <v>171</v>
      </c>
      <c r="I15" s="6" t="s">
        <v>172</v>
      </c>
      <c r="J15" s="6" t="s">
        <v>52</v>
      </c>
      <c r="K15" s="6" t="s">
        <v>173</v>
      </c>
      <c r="L15" s="6" t="s">
        <v>54</v>
      </c>
      <c r="M15" s="8" t="s">
        <v>28</v>
      </c>
      <c r="N15" s="11" t="s">
        <v>28</v>
      </c>
      <c r="O15" s="6" t="s">
        <v>174</v>
      </c>
      <c r="P15" s="6" t="s">
        <v>175</v>
      </c>
      <c r="Q15" s="10" t="s">
        <v>176</v>
      </c>
    </row>
    <row r="16" spans="1:17" ht="37.5" x14ac:dyDescent="0.35">
      <c r="A16" s="2">
        <v>15</v>
      </c>
      <c r="B16" s="3" t="s">
        <v>17</v>
      </c>
      <c r="C16" s="18" t="s">
        <v>166</v>
      </c>
      <c r="D16" s="5" t="s">
        <v>177</v>
      </c>
      <c r="E16" s="6" t="s">
        <v>178</v>
      </c>
      <c r="F16" s="7" t="s">
        <v>179</v>
      </c>
      <c r="G16" s="6" t="s">
        <v>180</v>
      </c>
      <c r="H16" s="6" t="s">
        <v>171</v>
      </c>
      <c r="I16" s="6" t="s">
        <v>149</v>
      </c>
      <c r="J16" s="6" t="s">
        <v>181</v>
      </c>
      <c r="K16" s="6" t="s">
        <v>182</v>
      </c>
      <c r="L16" s="6" t="s">
        <v>183</v>
      </c>
      <c r="M16" s="8" t="s">
        <v>28</v>
      </c>
      <c r="N16" s="11" t="s">
        <v>28</v>
      </c>
      <c r="O16" s="6" t="s">
        <v>184</v>
      </c>
      <c r="P16" s="6" t="s">
        <v>185</v>
      </c>
      <c r="Q16" s="10" t="s">
        <v>186</v>
      </c>
    </row>
    <row r="17" spans="1:17" ht="46" x14ac:dyDescent="0.35">
      <c r="A17" s="2">
        <v>16</v>
      </c>
      <c r="B17" s="3" t="s">
        <v>17</v>
      </c>
      <c r="C17" s="19" t="s">
        <v>187</v>
      </c>
      <c r="D17" s="5" t="s">
        <v>188</v>
      </c>
      <c r="E17" s="6" t="s">
        <v>189</v>
      </c>
      <c r="F17" s="7" t="s">
        <v>190</v>
      </c>
      <c r="G17" s="6" t="s">
        <v>191</v>
      </c>
      <c r="H17" s="6" t="s">
        <v>192</v>
      </c>
      <c r="I17" s="6" t="s">
        <v>193</v>
      </c>
      <c r="J17" s="6" t="s">
        <v>194</v>
      </c>
      <c r="K17" s="6" t="s">
        <v>195</v>
      </c>
      <c r="L17" s="6" t="s">
        <v>196</v>
      </c>
      <c r="M17" s="8" t="s">
        <v>28</v>
      </c>
      <c r="N17" s="9" t="s">
        <v>29</v>
      </c>
      <c r="O17" s="6" t="s">
        <v>197</v>
      </c>
      <c r="P17" s="6" t="s">
        <v>198</v>
      </c>
      <c r="Q17" s="10" t="s">
        <v>199</v>
      </c>
    </row>
    <row r="18" spans="1:17" ht="62.5" x14ac:dyDescent="0.35">
      <c r="A18" s="2">
        <v>17</v>
      </c>
      <c r="B18" s="20" t="s">
        <v>200</v>
      </c>
      <c r="C18" s="4" t="s">
        <v>18</v>
      </c>
      <c r="D18" s="5" t="s">
        <v>201</v>
      </c>
      <c r="E18" s="6" t="s">
        <v>202</v>
      </c>
      <c r="F18" s="7" t="s">
        <v>203</v>
      </c>
      <c r="G18" s="6" t="s">
        <v>204</v>
      </c>
      <c r="H18" s="6" t="s">
        <v>205</v>
      </c>
      <c r="I18" s="6" t="s">
        <v>206</v>
      </c>
      <c r="J18" s="6" t="s">
        <v>39</v>
      </c>
      <c r="K18" s="6" t="s">
        <v>207</v>
      </c>
      <c r="L18" s="6" t="s">
        <v>208</v>
      </c>
      <c r="M18" s="8" t="s">
        <v>28</v>
      </c>
      <c r="N18" s="9" t="s">
        <v>29</v>
      </c>
      <c r="O18" s="6" t="s">
        <v>209</v>
      </c>
      <c r="P18" s="6" t="s">
        <v>210</v>
      </c>
      <c r="Q18" s="10" t="s">
        <v>211</v>
      </c>
    </row>
    <row r="19" spans="1:17" ht="50" x14ac:dyDescent="0.35">
      <c r="A19" s="2">
        <v>18</v>
      </c>
      <c r="B19" s="20" t="s">
        <v>200</v>
      </c>
      <c r="C19" s="4" t="s">
        <v>18</v>
      </c>
      <c r="D19" s="5" t="s">
        <v>212</v>
      </c>
      <c r="E19" s="6" t="s">
        <v>213</v>
      </c>
      <c r="F19" s="7" t="s">
        <v>214</v>
      </c>
      <c r="G19" s="6" t="s">
        <v>215</v>
      </c>
      <c r="H19" s="6" t="s">
        <v>37</v>
      </c>
      <c r="I19" s="6" t="s">
        <v>73</v>
      </c>
      <c r="J19" s="6" t="s">
        <v>39</v>
      </c>
      <c r="K19" s="6" t="s">
        <v>216</v>
      </c>
      <c r="L19" s="6" t="s">
        <v>217</v>
      </c>
      <c r="M19" s="8" t="s">
        <v>28</v>
      </c>
      <c r="N19" s="11" t="s">
        <v>28</v>
      </c>
      <c r="O19" s="6" t="s">
        <v>218</v>
      </c>
      <c r="P19" s="6" t="s">
        <v>219</v>
      </c>
      <c r="Q19" s="10" t="s">
        <v>220</v>
      </c>
    </row>
    <row r="20" spans="1:17" ht="62.5" x14ac:dyDescent="0.35">
      <c r="A20" s="2">
        <v>19</v>
      </c>
      <c r="B20" s="20" t="s">
        <v>200</v>
      </c>
      <c r="C20" s="12" t="s">
        <v>45</v>
      </c>
      <c r="D20" s="5" t="s">
        <v>221</v>
      </c>
      <c r="E20" s="6" t="s">
        <v>222</v>
      </c>
      <c r="F20" s="7" t="s">
        <v>223</v>
      </c>
      <c r="G20" s="6" t="s">
        <v>224</v>
      </c>
      <c r="H20" s="6" t="s">
        <v>50</v>
      </c>
      <c r="I20" s="6" t="s">
        <v>64</v>
      </c>
      <c r="J20" s="6" t="s">
        <v>52</v>
      </c>
      <c r="K20" s="6" t="s">
        <v>225</v>
      </c>
      <c r="L20" s="6" t="s">
        <v>54</v>
      </c>
      <c r="M20" s="8" t="s">
        <v>28</v>
      </c>
      <c r="N20" s="9" t="s">
        <v>29</v>
      </c>
      <c r="O20" s="6" t="s">
        <v>226</v>
      </c>
      <c r="P20" s="6" t="s">
        <v>227</v>
      </c>
      <c r="Q20" s="10" t="s">
        <v>228</v>
      </c>
    </row>
    <row r="21" spans="1:17" ht="50" x14ac:dyDescent="0.35">
      <c r="A21" s="2">
        <v>20</v>
      </c>
      <c r="B21" s="20" t="s">
        <v>200</v>
      </c>
      <c r="C21" s="12" t="s">
        <v>45</v>
      </c>
      <c r="D21" s="5" t="s">
        <v>229</v>
      </c>
      <c r="E21" s="6" t="s">
        <v>230</v>
      </c>
      <c r="F21" s="7" t="s">
        <v>231</v>
      </c>
      <c r="G21" s="6" t="s">
        <v>232</v>
      </c>
      <c r="H21" s="6" t="s">
        <v>233</v>
      </c>
      <c r="I21" s="6" t="s">
        <v>234</v>
      </c>
      <c r="J21" s="6" t="s">
        <v>52</v>
      </c>
      <c r="K21" s="6" t="s">
        <v>235</v>
      </c>
      <c r="L21" s="6" t="s">
        <v>54</v>
      </c>
      <c r="M21" s="8" t="s">
        <v>28</v>
      </c>
      <c r="N21" s="9" t="s">
        <v>29</v>
      </c>
      <c r="O21" s="6" t="s">
        <v>236</v>
      </c>
      <c r="P21" s="6" t="s">
        <v>237</v>
      </c>
      <c r="Q21" s="10" t="s">
        <v>238</v>
      </c>
    </row>
    <row r="22" spans="1:17" ht="50" x14ac:dyDescent="0.35">
      <c r="A22" s="2">
        <v>21</v>
      </c>
      <c r="B22" s="20" t="s">
        <v>200</v>
      </c>
      <c r="C22" s="14" t="s">
        <v>88</v>
      </c>
      <c r="D22" s="5" t="s">
        <v>239</v>
      </c>
      <c r="E22" s="6" t="s">
        <v>240</v>
      </c>
      <c r="F22" s="7" t="s">
        <v>241</v>
      </c>
      <c r="G22" s="6" t="s">
        <v>242</v>
      </c>
      <c r="H22" s="6" t="s">
        <v>243</v>
      </c>
      <c r="I22" s="6" t="s">
        <v>115</v>
      </c>
      <c r="J22" s="6" t="s">
        <v>25</v>
      </c>
      <c r="K22" s="6" t="s">
        <v>244</v>
      </c>
      <c r="L22" s="6" t="s">
        <v>245</v>
      </c>
      <c r="M22" s="8" t="s">
        <v>28</v>
      </c>
      <c r="N22" s="9" t="s">
        <v>29</v>
      </c>
      <c r="O22" s="6" t="s">
        <v>246</v>
      </c>
      <c r="P22" s="6" t="s">
        <v>247</v>
      </c>
      <c r="Q22" s="10" t="s">
        <v>248</v>
      </c>
    </row>
    <row r="23" spans="1:17" ht="46" x14ac:dyDescent="0.35">
      <c r="A23" s="2">
        <v>22</v>
      </c>
      <c r="B23" s="20" t="s">
        <v>200</v>
      </c>
      <c r="C23" s="14" t="s">
        <v>88</v>
      </c>
      <c r="D23" s="5" t="s">
        <v>249</v>
      </c>
      <c r="E23" s="6" t="s">
        <v>250</v>
      </c>
      <c r="F23" s="7" t="s">
        <v>251</v>
      </c>
      <c r="G23" s="6" t="s">
        <v>252</v>
      </c>
      <c r="H23" s="6" t="s">
        <v>37</v>
      </c>
      <c r="I23" s="6" t="s">
        <v>253</v>
      </c>
      <c r="J23" s="6" t="s">
        <v>254</v>
      </c>
      <c r="K23" s="6" t="s">
        <v>255</v>
      </c>
      <c r="L23" s="6" t="s">
        <v>256</v>
      </c>
      <c r="M23" s="8" t="s">
        <v>28</v>
      </c>
      <c r="N23" s="11" t="s">
        <v>28</v>
      </c>
      <c r="O23" s="6" t="s">
        <v>257</v>
      </c>
      <c r="P23" s="6" t="s">
        <v>258</v>
      </c>
      <c r="Q23" s="10" t="s">
        <v>259</v>
      </c>
    </row>
    <row r="24" spans="1:17" ht="50" x14ac:dyDescent="0.35">
      <c r="A24" s="2">
        <v>23</v>
      </c>
      <c r="B24" s="20" t="s">
        <v>200</v>
      </c>
      <c r="C24" s="14" t="s">
        <v>88</v>
      </c>
      <c r="D24" s="5" t="s">
        <v>260</v>
      </c>
      <c r="E24" s="6" t="s">
        <v>261</v>
      </c>
      <c r="F24" s="7" t="s">
        <v>262</v>
      </c>
      <c r="G24" s="6" t="s">
        <v>263</v>
      </c>
      <c r="H24" s="6" t="s">
        <v>93</v>
      </c>
      <c r="I24" s="6" t="s">
        <v>24</v>
      </c>
      <c r="J24" s="6" t="s">
        <v>25</v>
      </c>
      <c r="K24" s="6" t="s">
        <v>264</v>
      </c>
      <c r="L24" s="6" t="s">
        <v>84</v>
      </c>
      <c r="M24" s="8" t="s">
        <v>28</v>
      </c>
      <c r="N24" s="11" t="s">
        <v>28</v>
      </c>
      <c r="O24" s="6" t="s">
        <v>265</v>
      </c>
      <c r="P24" s="6" t="s">
        <v>266</v>
      </c>
      <c r="Q24" s="10" t="s">
        <v>267</v>
      </c>
    </row>
    <row r="25" spans="1:17" ht="50" x14ac:dyDescent="0.35">
      <c r="A25" s="2">
        <v>24</v>
      </c>
      <c r="B25" s="20" t="s">
        <v>200</v>
      </c>
      <c r="C25" s="14" t="s">
        <v>88</v>
      </c>
      <c r="D25" s="5" t="s">
        <v>268</v>
      </c>
      <c r="E25" s="6" t="s">
        <v>269</v>
      </c>
      <c r="F25" s="7" t="s">
        <v>270</v>
      </c>
      <c r="G25" s="6" t="s">
        <v>271</v>
      </c>
      <c r="H25" s="6" t="s">
        <v>93</v>
      </c>
      <c r="I25" s="6" t="s">
        <v>115</v>
      </c>
      <c r="J25" s="6" t="s">
        <v>272</v>
      </c>
      <c r="K25" s="6" t="s">
        <v>273</v>
      </c>
      <c r="L25" s="6" t="s">
        <v>274</v>
      </c>
      <c r="M25" s="8" t="s">
        <v>28</v>
      </c>
      <c r="N25" s="9" t="s">
        <v>29</v>
      </c>
      <c r="O25" s="6" t="s">
        <v>275</v>
      </c>
      <c r="P25" s="6" t="s">
        <v>276</v>
      </c>
      <c r="Q25" s="10" t="s">
        <v>277</v>
      </c>
    </row>
    <row r="26" spans="1:17" ht="37.5" x14ac:dyDescent="0.35">
      <c r="A26" s="2">
        <v>25</v>
      </c>
      <c r="B26" s="20" t="s">
        <v>200</v>
      </c>
      <c r="C26" s="14" t="s">
        <v>88</v>
      </c>
      <c r="D26" s="5" t="s">
        <v>278</v>
      </c>
      <c r="E26" s="6" t="s">
        <v>279</v>
      </c>
      <c r="F26" s="7" t="s">
        <v>280</v>
      </c>
      <c r="G26" s="6" t="s">
        <v>281</v>
      </c>
      <c r="H26" s="6" t="s">
        <v>37</v>
      </c>
      <c r="I26" s="6" t="s">
        <v>73</v>
      </c>
      <c r="J26" s="6" t="s">
        <v>39</v>
      </c>
      <c r="K26" s="6" t="s">
        <v>282</v>
      </c>
      <c r="L26" s="6" t="s">
        <v>283</v>
      </c>
      <c r="M26" s="8" t="s">
        <v>28</v>
      </c>
      <c r="N26" s="11" t="s">
        <v>28</v>
      </c>
      <c r="O26" s="6" t="s">
        <v>284</v>
      </c>
      <c r="P26" s="6" t="s">
        <v>219</v>
      </c>
      <c r="Q26" s="10" t="s">
        <v>285</v>
      </c>
    </row>
    <row r="27" spans="1:17" ht="50" x14ac:dyDescent="0.35">
      <c r="A27" s="2">
        <v>26</v>
      </c>
      <c r="B27" s="20" t="s">
        <v>200</v>
      </c>
      <c r="C27" s="15" t="s">
        <v>110</v>
      </c>
      <c r="D27" s="5" t="s">
        <v>286</v>
      </c>
      <c r="E27" s="6" t="s">
        <v>287</v>
      </c>
      <c r="F27" s="7" t="s">
        <v>288</v>
      </c>
      <c r="G27" s="6" t="s">
        <v>289</v>
      </c>
      <c r="H27" s="6" t="s">
        <v>23</v>
      </c>
      <c r="I27" s="6" t="s">
        <v>115</v>
      </c>
      <c r="J27" s="6" t="s">
        <v>290</v>
      </c>
      <c r="K27" s="6" t="s">
        <v>291</v>
      </c>
      <c r="L27" s="6" t="s">
        <v>292</v>
      </c>
      <c r="M27" s="8" t="s">
        <v>28</v>
      </c>
      <c r="N27" s="9" t="s">
        <v>29</v>
      </c>
      <c r="O27" s="6" t="s">
        <v>293</v>
      </c>
      <c r="P27" s="6" t="s">
        <v>294</v>
      </c>
      <c r="Q27" s="10" t="s">
        <v>295</v>
      </c>
    </row>
    <row r="28" spans="1:17" ht="37.5" x14ac:dyDescent="0.35">
      <c r="A28" s="2">
        <v>27</v>
      </c>
      <c r="B28" s="20" t="s">
        <v>200</v>
      </c>
      <c r="C28" s="15" t="s">
        <v>110</v>
      </c>
      <c r="D28" s="5" t="s">
        <v>296</v>
      </c>
      <c r="E28" s="6" t="s">
        <v>297</v>
      </c>
      <c r="F28" s="7" t="s">
        <v>298</v>
      </c>
      <c r="G28" s="6" t="s">
        <v>299</v>
      </c>
      <c r="H28" s="6" t="s">
        <v>23</v>
      </c>
      <c r="I28" s="6" t="s">
        <v>206</v>
      </c>
      <c r="J28" s="6" t="s">
        <v>300</v>
      </c>
      <c r="K28" s="6" t="s">
        <v>301</v>
      </c>
      <c r="L28" s="6" t="s">
        <v>302</v>
      </c>
      <c r="M28" s="8" t="s">
        <v>28</v>
      </c>
      <c r="N28" s="11" t="s">
        <v>28</v>
      </c>
      <c r="O28" s="6" t="s">
        <v>303</v>
      </c>
      <c r="P28" s="6" t="s">
        <v>304</v>
      </c>
      <c r="Q28" s="10" t="s">
        <v>305</v>
      </c>
    </row>
    <row r="29" spans="1:17" ht="37.5" x14ac:dyDescent="0.35">
      <c r="A29" s="2">
        <v>28</v>
      </c>
      <c r="B29" s="20" t="s">
        <v>200</v>
      </c>
      <c r="C29" s="15" t="s">
        <v>110</v>
      </c>
      <c r="D29" s="5" t="s">
        <v>306</v>
      </c>
      <c r="E29" s="6" t="s">
        <v>307</v>
      </c>
      <c r="F29" s="7" t="s">
        <v>308</v>
      </c>
      <c r="G29" s="6" t="s">
        <v>309</v>
      </c>
      <c r="H29" s="6" t="s">
        <v>310</v>
      </c>
      <c r="I29" s="6" t="s">
        <v>311</v>
      </c>
      <c r="J29" s="6" t="s">
        <v>300</v>
      </c>
      <c r="K29" s="6" t="s">
        <v>312</v>
      </c>
      <c r="L29" s="6" t="s">
        <v>313</v>
      </c>
      <c r="M29" s="8" t="s">
        <v>28</v>
      </c>
      <c r="N29" s="9" t="s">
        <v>29</v>
      </c>
      <c r="O29" s="6" t="s">
        <v>314</v>
      </c>
      <c r="P29" s="6" t="s">
        <v>315</v>
      </c>
      <c r="Q29" s="10" t="s">
        <v>316</v>
      </c>
    </row>
    <row r="30" spans="1:17" ht="50" x14ac:dyDescent="0.35">
      <c r="A30" s="2">
        <v>29</v>
      </c>
      <c r="B30" s="20" t="s">
        <v>200</v>
      </c>
      <c r="C30" s="16" t="s">
        <v>121</v>
      </c>
      <c r="D30" s="5" t="s">
        <v>317</v>
      </c>
      <c r="E30" s="6" t="s">
        <v>318</v>
      </c>
      <c r="F30" s="7" t="s">
        <v>319</v>
      </c>
      <c r="G30" s="6" t="s">
        <v>320</v>
      </c>
      <c r="H30" s="6" t="s">
        <v>126</v>
      </c>
      <c r="I30" s="6" t="s">
        <v>127</v>
      </c>
      <c r="J30" s="6" t="s">
        <v>104</v>
      </c>
      <c r="K30" s="6" t="s">
        <v>321</v>
      </c>
      <c r="L30" s="6" t="s">
        <v>129</v>
      </c>
      <c r="M30" s="8" t="s">
        <v>28</v>
      </c>
      <c r="N30" s="11" t="s">
        <v>28</v>
      </c>
      <c r="O30" s="6" t="s">
        <v>322</v>
      </c>
      <c r="P30" s="6" t="s">
        <v>323</v>
      </c>
      <c r="Q30" s="10" t="s">
        <v>324</v>
      </c>
    </row>
    <row r="31" spans="1:17" ht="50" x14ac:dyDescent="0.35">
      <c r="A31" s="2">
        <v>30</v>
      </c>
      <c r="B31" s="20" t="s">
        <v>200</v>
      </c>
      <c r="C31" s="16" t="s">
        <v>121</v>
      </c>
      <c r="D31" s="5" t="s">
        <v>325</v>
      </c>
      <c r="E31" s="6" t="s">
        <v>326</v>
      </c>
      <c r="F31" s="7" t="s">
        <v>327</v>
      </c>
      <c r="G31" s="6" t="s">
        <v>328</v>
      </c>
      <c r="H31" s="6" t="s">
        <v>329</v>
      </c>
      <c r="I31" s="6" t="s">
        <v>330</v>
      </c>
      <c r="J31" s="6" t="s">
        <v>39</v>
      </c>
      <c r="K31" s="6" t="s">
        <v>331</v>
      </c>
      <c r="L31" s="6" t="s">
        <v>332</v>
      </c>
      <c r="M31" s="8" t="s">
        <v>28</v>
      </c>
      <c r="N31" s="9" t="s">
        <v>29</v>
      </c>
      <c r="O31" s="6" t="s">
        <v>333</v>
      </c>
      <c r="P31" s="6" t="s">
        <v>334</v>
      </c>
      <c r="Q31" s="10" t="s">
        <v>335</v>
      </c>
    </row>
    <row r="32" spans="1:17" ht="37.5" x14ac:dyDescent="0.35">
      <c r="A32" s="2">
        <v>31</v>
      </c>
      <c r="B32" s="20" t="s">
        <v>200</v>
      </c>
      <c r="C32" s="16" t="s">
        <v>121</v>
      </c>
      <c r="D32" s="5" t="s">
        <v>336</v>
      </c>
      <c r="E32" s="6" t="s">
        <v>337</v>
      </c>
      <c r="F32" s="7" t="s">
        <v>338</v>
      </c>
      <c r="G32" s="6" t="s">
        <v>339</v>
      </c>
      <c r="H32" s="6" t="s">
        <v>192</v>
      </c>
      <c r="I32" s="6" t="s">
        <v>139</v>
      </c>
      <c r="J32" s="6" t="s">
        <v>300</v>
      </c>
      <c r="K32" s="6" t="s">
        <v>340</v>
      </c>
      <c r="L32" s="6" t="s">
        <v>341</v>
      </c>
      <c r="M32" s="8" t="s">
        <v>28</v>
      </c>
      <c r="N32" s="9" t="s">
        <v>29</v>
      </c>
      <c r="O32" s="6" t="s">
        <v>342</v>
      </c>
      <c r="P32" s="6" t="s">
        <v>343</v>
      </c>
      <c r="Q32" s="10" t="s">
        <v>344</v>
      </c>
    </row>
    <row r="33" spans="1:17" ht="50" x14ac:dyDescent="0.35">
      <c r="A33" s="2">
        <v>32</v>
      </c>
      <c r="B33" s="20" t="s">
        <v>200</v>
      </c>
      <c r="C33" s="16" t="s">
        <v>121</v>
      </c>
      <c r="D33" s="5" t="s">
        <v>345</v>
      </c>
      <c r="E33" s="6" t="s">
        <v>346</v>
      </c>
      <c r="F33" s="7" t="s">
        <v>347</v>
      </c>
      <c r="G33" s="6" t="s">
        <v>348</v>
      </c>
      <c r="H33" s="6" t="s">
        <v>349</v>
      </c>
      <c r="I33" s="6" t="s">
        <v>172</v>
      </c>
      <c r="J33" s="6" t="s">
        <v>52</v>
      </c>
      <c r="K33" s="6" t="s">
        <v>350</v>
      </c>
      <c r="L33" s="6" t="s">
        <v>54</v>
      </c>
      <c r="M33" s="8" t="s">
        <v>28</v>
      </c>
      <c r="N33" s="9" t="s">
        <v>29</v>
      </c>
      <c r="O33" s="6" t="s">
        <v>351</v>
      </c>
      <c r="P33" s="6" t="s">
        <v>352</v>
      </c>
      <c r="Q33" s="10" t="s">
        <v>353</v>
      </c>
    </row>
    <row r="34" spans="1:17" ht="37.5" x14ac:dyDescent="0.35">
      <c r="A34" s="2">
        <v>33</v>
      </c>
      <c r="B34" s="20" t="s">
        <v>200</v>
      </c>
      <c r="C34" s="18" t="s">
        <v>166</v>
      </c>
      <c r="D34" s="5" t="s">
        <v>354</v>
      </c>
      <c r="E34" s="6" t="s">
        <v>355</v>
      </c>
      <c r="F34" s="7" t="s">
        <v>356</v>
      </c>
      <c r="G34" s="6" t="s">
        <v>357</v>
      </c>
      <c r="H34" s="6" t="s">
        <v>171</v>
      </c>
      <c r="I34" s="6" t="s">
        <v>172</v>
      </c>
      <c r="J34" s="6" t="s">
        <v>52</v>
      </c>
      <c r="K34" s="6" t="s">
        <v>358</v>
      </c>
      <c r="L34" s="6" t="s">
        <v>54</v>
      </c>
      <c r="M34" s="8" t="s">
        <v>28</v>
      </c>
      <c r="N34" s="9" t="s">
        <v>29</v>
      </c>
      <c r="O34" s="6" t="s">
        <v>359</v>
      </c>
      <c r="P34" s="6" t="s">
        <v>360</v>
      </c>
      <c r="Q34" s="10" t="s">
        <v>361</v>
      </c>
    </row>
    <row r="35" spans="1:17" ht="37.5" x14ac:dyDescent="0.35">
      <c r="A35" s="2">
        <v>34</v>
      </c>
      <c r="B35" s="21" t="s">
        <v>362</v>
      </c>
      <c r="C35" s="15" t="s">
        <v>110</v>
      </c>
      <c r="D35" s="5" t="s">
        <v>363</v>
      </c>
      <c r="E35" s="6" t="s">
        <v>364</v>
      </c>
      <c r="F35" s="7" t="s">
        <v>365</v>
      </c>
      <c r="G35" s="6" t="s">
        <v>366</v>
      </c>
      <c r="H35" s="6" t="s">
        <v>23</v>
      </c>
      <c r="I35" s="6" t="s">
        <v>115</v>
      </c>
      <c r="J35" s="6" t="s">
        <v>39</v>
      </c>
      <c r="K35" s="6" t="s">
        <v>367</v>
      </c>
      <c r="L35" s="6" t="s">
        <v>368</v>
      </c>
      <c r="M35" s="8" t="s">
        <v>28</v>
      </c>
      <c r="N35" s="9" t="s">
        <v>29</v>
      </c>
      <c r="O35" s="6" t="s">
        <v>369</v>
      </c>
      <c r="P35" s="6" t="s">
        <v>370</v>
      </c>
      <c r="Q35" s="10" t="s">
        <v>371</v>
      </c>
    </row>
    <row r="36" spans="1:17" ht="37.5" x14ac:dyDescent="0.35">
      <c r="A36" s="2">
        <v>35</v>
      </c>
      <c r="B36" s="21" t="s">
        <v>362</v>
      </c>
      <c r="C36" s="17" t="s">
        <v>133</v>
      </c>
      <c r="D36" s="5" t="s">
        <v>372</v>
      </c>
      <c r="E36" s="6" t="s">
        <v>373</v>
      </c>
      <c r="F36" s="7" t="s">
        <v>374</v>
      </c>
      <c r="G36" s="6" t="s">
        <v>375</v>
      </c>
      <c r="H36" s="6" t="s">
        <v>138</v>
      </c>
      <c r="I36" s="6" t="s">
        <v>139</v>
      </c>
      <c r="J36" s="6" t="s">
        <v>376</v>
      </c>
      <c r="K36" s="6" t="s">
        <v>377</v>
      </c>
      <c r="L36" s="6" t="s">
        <v>378</v>
      </c>
      <c r="M36" s="8" t="s">
        <v>28</v>
      </c>
      <c r="N36" s="22" t="s">
        <v>379</v>
      </c>
      <c r="O36" s="6" t="s">
        <v>380</v>
      </c>
      <c r="P36" s="6" t="s">
        <v>381</v>
      </c>
      <c r="Q36" s="10" t="s">
        <v>382</v>
      </c>
    </row>
    <row r="37" spans="1:17" ht="37.5" x14ac:dyDescent="0.35">
      <c r="A37" s="2">
        <v>36</v>
      </c>
      <c r="B37" s="21" t="s">
        <v>362</v>
      </c>
      <c r="C37" s="18" t="s">
        <v>166</v>
      </c>
      <c r="D37" s="5" t="s">
        <v>383</v>
      </c>
      <c r="E37" s="6" t="s">
        <v>384</v>
      </c>
      <c r="F37" s="7" t="s">
        <v>385</v>
      </c>
      <c r="G37" s="6" t="s">
        <v>386</v>
      </c>
      <c r="H37" s="6" t="s">
        <v>387</v>
      </c>
      <c r="I37" s="6" t="s">
        <v>193</v>
      </c>
      <c r="J37" s="6" t="s">
        <v>52</v>
      </c>
      <c r="K37" s="6" t="s">
        <v>388</v>
      </c>
      <c r="L37" s="6" t="s">
        <v>54</v>
      </c>
      <c r="M37" s="8" t="s">
        <v>28</v>
      </c>
      <c r="N37" s="22" t="s">
        <v>379</v>
      </c>
      <c r="O37" s="6" t="s">
        <v>389</v>
      </c>
      <c r="P37" s="6" t="s">
        <v>390</v>
      </c>
      <c r="Q37" s="10" t="s">
        <v>391</v>
      </c>
    </row>
    <row r="38" spans="1:17" ht="37.5" x14ac:dyDescent="0.35">
      <c r="A38" s="2">
        <v>37</v>
      </c>
      <c r="B38" s="21" t="s">
        <v>362</v>
      </c>
      <c r="C38" s="19" t="s">
        <v>187</v>
      </c>
      <c r="D38" s="5" t="s">
        <v>392</v>
      </c>
      <c r="E38" s="6" t="s">
        <v>393</v>
      </c>
      <c r="F38" s="7" t="s">
        <v>394</v>
      </c>
      <c r="G38" s="6" t="s">
        <v>395</v>
      </c>
      <c r="H38" s="6" t="s">
        <v>396</v>
      </c>
      <c r="I38" s="6" t="s">
        <v>139</v>
      </c>
      <c r="J38" s="6" t="s">
        <v>52</v>
      </c>
      <c r="K38" s="6" t="s">
        <v>397</v>
      </c>
      <c r="L38" s="6" t="s">
        <v>54</v>
      </c>
      <c r="M38" s="8" t="s">
        <v>28</v>
      </c>
      <c r="N38" s="22" t="s">
        <v>379</v>
      </c>
      <c r="O38" s="6" t="s">
        <v>398</v>
      </c>
      <c r="P38" s="6" t="s">
        <v>399</v>
      </c>
      <c r="Q38" s="10" t="s">
        <v>400</v>
      </c>
    </row>
  </sheetData>
  <autoFilter ref="A1:Q3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/>
  </sheetViews>
  <sheetFormatPr defaultColWidth="8.6328125" defaultRowHeight="14.5" x14ac:dyDescent="0.35"/>
  <cols>
    <col min="1" max="1" width="14" customWidth="1"/>
    <col min="2" max="2" width="90" customWidth="1"/>
    <col min="3" max="3" width="70" customWidth="1"/>
  </cols>
  <sheetData>
    <row r="1" spans="1:3" ht="16.5" x14ac:dyDescent="0.35">
      <c r="A1" s="23" t="s">
        <v>401</v>
      </c>
    </row>
    <row r="3" spans="1:3" x14ac:dyDescent="0.35">
      <c r="A3" s="24" t="s">
        <v>402</v>
      </c>
    </row>
    <row r="4" spans="1:3" x14ac:dyDescent="0.35">
      <c r="A4" s="25" t="s">
        <v>403</v>
      </c>
      <c r="B4" s="25" t="s">
        <v>404</v>
      </c>
      <c r="C4" s="25"/>
    </row>
    <row r="5" spans="1:3" x14ac:dyDescent="0.35">
      <c r="A5" s="26" t="s">
        <v>55</v>
      </c>
      <c r="B5" s="6" t="s">
        <v>405</v>
      </c>
      <c r="C5" s="6"/>
    </row>
    <row r="6" spans="1:3" x14ac:dyDescent="0.35">
      <c r="A6" s="27" t="s">
        <v>28</v>
      </c>
      <c r="B6" s="6" t="s">
        <v>406</v>
      </c>
      <c r="C6" s="6"/>
    </row>
    <row r="8" spans="1:3" x14ac:dyDescent="0.35">
      <c r="A8" s="24" t="s">
        <v>407</v>
      </c>
    </row>
    <row r="9" spans="1:3" x14ac:dyDescent="0.35">
      <c r="A9" s="25" t="s">
        <v>403</v>
      </c>
      <c r="B9" s="25" t="s">
        <v>404</v>
      </c>
      <c r="C9" s="25" t="s">
        <v>408</v>
      </c>
    </row>
    <row r="10" spans="1:3" ht="25" x14ac:dyDescent="0.35">
      <c r="A10" s="26" t="s">
        <v>28</v>
      </c>
      <c r="B10" s="6" t="s">
        <v>409</v>
      </c>
      <c r="C10" s="6" t="s">
        <v>410</v>
      </c>
    </row>
    <row r="11" spans="1:3" ht="25" x14ac:dyDescent="0.35">
      <c r="A11" s="28" t="s">
        <v>29</v>
      </c>
      <c r="B11" s="6" t="s">
        <v>411</v>
      </c>
      <c r="C11" s="6" t="s">
        <v>412</v>
      </c>
    </row>
    <row r="12" spans="1:3" x14ac:dyDescent="0.35">
      <c r="A12" s="29" t="s">
        <v>379</v>
      </c>
      <c r="B12" s="6" t="s">
        <v>413</v>
      </c>
      <c r="C12" s="6" t="s">
        <v>414</v>
      </c>
    </row>
    <row r="14" spans="1:3" x14ac:dyDescent="0.35">
      <c r="A14" s="24" t="s">
        <v>415</v>
      </c>
    </row>
    <row r="15" spans="1:3" x14ac:dyDescent="0.35">
      <c r="A15" s="25" t="s">
        <v>1</v>
      </c>
      <c r="B15" s="25" t="s">
        <v>416</v>
      </c>
      <c r="C15" s="25" t="s">
        <v>417</v>
      </c>
    </row>
    <row r="16" spans="1:3" ht="25" x14ac:dyDescent="0.35">
      <c r="A16" s="30" t="s">
        <v>17</v>
      </c>
      <c r="B16" s="6" t="s">
        <v>418</v>
      </c>
      <c r="C16" s="6" t="s">
        <v>419</v>
      </c>
    </row>
    <row r="17" spans="1:3" ht="25" x14ac:dyDescent="0.35">
      <c r="A17" s="31" t="s">
        <v>200</v>
      </c>
      <c r="B17" s="6" t="s">
        <v>420</v>
      </c>
      <c r="C17" s="6" t="s">
        <v>421</v>
      </c>
    </row>
    <row r="18" spans="1:3" x14ac:dyDescent="0.35">
      <c r="A18" s="32" t="s">
        <v>362</v>
      </c>
      <c r="B18" s="6" t="s">
        <v>422</v>
      </c>
      <c r="C18" s="6" t="s">
        <v>423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zoomScaleNormal="100" workbookViewId="0"/>
  </sheetViews>
  <sheetFormatPr defaultColWidth="8.6328125" defaultRowHeight="14.5" x14ac:dyDescent="0.35"/>
  <cols>
    <col min="1" max="1" width="32" customWidth="1"/>
    <col min="2" max="8" width="12" customWidth="1"/>
  </cols>
  <sheetData>
    <row r="1" spans="1:8" ht="16.5" x14ac:dyDescent="0.35">
      <c r="A1" s="23" t="s">
        <v>424</v>
      </c>
    </row>
    <row r="3" spans="1:8" ht="30" customHeight="1" x14ac:dyDescent="0.35">
      <c r="A3" s="33" t="s">
        <v>2</v>
      </c>
      <c r="B3" s="33" t="s">
        <v>17</v>
      </c>
      <c r="C3" s="33" t="s">
        <v>200</v>
      </c>
      <c r="D3" s="33" t="s">
        <v>362</v>
      </c>
      <c r="E3" s="33" t="s">
        <v>425</v>
      </c>
      <c r="F3" s="33" t="s">
        <v>426</v>
      </c>
      <c r="G3" s="33" t="s">
        <v>427</v>
      </c>
      <c r="H3" s="33" t="s">
        <v>428</v>
      </c>
    </row>
    <row r="4" spans="1:8" x14ac:dyDescent="0.35">
      <c r="A4" s="34" t="s">
        <v>18</v>
      </c>
      <c r="B4" s="35">
        <f>COUNTIFS(Variables!$C$2:$C$38,$A4,Variables!$B$2:$B$38,"P1")</f>
        <v>2</v>
      </c>
      <c r="C4" s="35">
        <f>COUNTIFS(Variables!$C$2:$C$38,$A4,Variables!$B$2:$B$38,"P2")</f>
        <v>2</v>
      </c>
      <c r="D4" s="35">
        <f>COUNTIFS(Variables!$C$2:$C$38,$A4,Variables!$B$2:$B$38,"P3")</f>
        <v>0</v>
      </c>
      <c r="E4" s="36">
        <f t="shared" ref="E4:E11" si="0">SUM(B4:D4)</f>
        <v>4</v>
      </c>
      <c r="F4" s="35">
        <f>COUNTIFS(Variables!$C$2:$C$38,$A4,Variables!$N$2:$N$38,"High")</f>
        <v>2</v>
      </c>
      <c r="G4" s="35">
        <f>COUNTIFS(Variables!$C$2:$C$38,$A4,Variables!$N$2:$N$38,"Medium")</f>
        <v>2</v>
      </c>
      <c r="H4" s="35">
        <f>COUNTIFS(Variables!$C$2:$C$38,$A4,Variables!$N$2:$N$38,"Low")</f>
        <v>0</v>
      </c>
    </row>
    <row r="5" spans="1:8" x14ac:dyDescent="0.35">
      <c r="A5" s="34" t="s">
        <v>45</v>
      </c>
      <c r="B5" s="35">
        <f>COUNTIFS(Variables!$C$2:$C$38,$A5,Variables!$B$2:$B$38,"P1")</f>
        <v>4</v>
      </c>
      <c r="C5" s="35">
        <f>COUNTIFS(Variables!$C$2:$C$38,$A5,Variables!$B$2:$B$38,"P2")</f>
        <v>2</v>
      </c>
      <c r="D5" s="35">
        <f>COUNTIFS(Variables!$C$2:$C$38,$A5,Variables!$B$2:$B$38,"P3")</f>
        <v>0</v>
      </c>
      <c r="E5" s="36">
        <f t="shared" si="0"/>
        <v>6</v>
      </c>
      <c r="F5" s="35">
        <f>COUNTIFS(Variables!$C$2:$C$38,$A5,Variables!$N$2:$N$38,"High")</f>
        <v>1</v>
      </c>
      <c r="G5" s="35">
        <f>COUNTIFS(Variables!$C$2:$C$38,$A5,Variables!$N$2:$N$38,"Medium")</f>
        <v>5</v>
      </c>
      <c r="H5" s="35">
        <f>COUNTIFS(Variables!$C$2:$C$38,$A5,Variables!$N$2:$N$38,"Low")</f>
        <v>0</v>
      </c>
    </row>
    <row r="6" spans="1:8" x14ac:dyDescent="0.35">
      <c r="A6" s="34" t="s">
        <v>88</v>
      </c>
      <c r="B6" s="35">
        <f>COUNTIFS(Variables!$C$2:$C$38,$A6,Variables!$B$2:$B$38,"P1")</f>
        <v>2</v>
      </c>
      <c r="C6" s="35">
        <f>COUNTIFS(Variables!$C$2:$C$38,$A6,Variables!$B$2:$B$38,"P2")</f>
        <v>5</v>
      </c>
      <c r="D6" s="35">
        <f>COUNTIFS(Variables!$C$2:$C$38,$A6,Variables!$B$2:$B$38,"P3")</f>
        <v>0</v>
      </c>
      <c r="E6" s="36">
        <f t="shared" si="0"/>
        <v>7</v>
      </c>
      <c r="F6" s="35">
        <f>COUNTIFS(Variables!$C$2:$C$38,$A6,Variables!$N$2:$N$38,"High")</f>
        <v>5</v>
      </c>
      <c r="G6" s="35">
        <f>COUNTIFS(Variables!$C$2:$C$38,$A6,Variables!$N$2:$N$38,"Medium")</f>
        <v>2</v>
      </c>
      <c r="H6" s="35">
        <f>COUNTIFS(Variables!$C$2:$C$38,$A6,Variables!$N$2:$N$38,"Low")</f>
        <v>0</v>
      </c>
    </row>
    <row r="7" spans="1:8" x14ac:dyDescent="0.35">
      <c r="A7" s="34" t="s">
        <v>110</v>
      </c>
      <c r="B7" s="35">
        <f>COUNTIFS(Variables!$C$2:$C$38,$A7,Variables!$B$2:$B$38,"P1")</f>
        <v>1</v>
      </c>
      <c r="C7" s="35">
        <f>COUNTIFS(Variables!$C$2:$C$38,$A7,Variables!$B$2:$B$38,"P2")</f>
        <v>3</v>
      </c>
      <c r="D7" s="35">
        <f>COUNTIFS(Variables!$C$2:$C$38,$A7,Variables!$B$2:$B$38,"P3")</f>
        <v>1</v>
      </c>
      <c r="E7" s="36">
        <f t="shared" si="0"/>
        <v>5</v>
      </c>
      <c r="F7" s="35">
        <f>COUNTIFS(Variables!$C$2:$C$38,$A7,Variables!$N$2:$N$38,"High")</f>
        <v>1</v>
      </c>
      <c r="G7" s="35">
        <f>COUNTIFS(Variables!$C$2:$C$38,$A7,Variables!$N$2:$N$38,"Medium")</f>
        <v>4</v>
      </c>
      <c r="H7" s="35">
        <f>COUNTIFS(Variables!$C$2:$C$38,$A7,Variables!$N$2:$N$38,"Low")</f>
        <v>0</v>
      </c>
    </row>
    <row r="8" spans="1:8" x14ac:dyDescent="0.35">
      <c r="A8" s="34" t="s">
        <v>121</v>
      </c>
      <c r="B8" s="35">
        <f>COUNTIFS(Variables!$C$2:$C$38,$A8,Variables!$B$2:$B$38,"P1")</f>
        <v>1</v>
      </c>
      <c r="C8" s="35">
        <f>COUNTIFS(Variables!$C$2:$C$38,$A8,Variables!$B$2:$B$38,"P2")</f>
        <v>4</v>
      </c>
      <c r="D8" s="35">
        <f>COUNTIFS(Variables!$C$2:$C$38,$A8,Variables!$B$2:$B$38,"P3")</f>
        <v>0</v>
      </c>
      <c r="E8" s="36">
        <f t="shared" si="0"/>
        <v>5</v>
      </c>
      <c r="F8" s="35">
        <f>COUNTIFS(Variables!$C$2:$C$38,$A8,Variables!$N$2:$N$38,"High")</f>
        <v>2</v>
      </c>
      <c r="G8" s="35">
        <f>COUNTIFS(Variables!$C$2:$C$38,$A8,Variables!$N$2:$N$38,"Medium")</f>
        <v>3</v>
      </c>
      <c r="H8" s="35">
        <f>COUNTIFS(Variables!$C$2:$C$38,$A8,Variables!$N$2:$N$38,"Low")</f>
        <v>0</v>
      </c>
    </row>
    <row r="9" spans="1:8" x14ac:dyDescent="0.35">
      <c r="A9" s="34" t="s">
        <v>133</v>
      </c>
      <c r="B9" s="35">
        <f>COUNTIFS(Variables!$C$2:$C$38,$A9,Variables!$B$2:$B$38,"P1")</f>
        <v>3</v>
      </c>
      <c r="C9" s="35">
        <f>COUNTIFS(Variables!$C$2:$C$38,$A9,Variables!$B$2:$B$38,"P2")</f>
        <v>0</v>
      </c>
      <c r="D9" s="35">
        <f>COUNTIFS(Variables!$C$2:$C$38,$A9,Variables!$B$2:$B$38,"P3")</f>
        <v>1</v>
      </c>
      <c r="E9" s="36">
        <f t="shared" si="0"/>
        <v>4</v>
      </c>
      <c r="F9" s="35">
        <f>COUNTIFS(Variables!$C$2:$C$38,$A9,Variables!$N$2:$N$38,"High")</f>
        <v>1</v>
      </c>
      <c r="G9" s="35">
        <f>COUNTIFS(Variables!$C$2:$C$38,$A9,Variables!$N$2:$N$38,"Medium")</f>
        <v>2</v>
      </c>
      <c r="H9" s="35">
        <f>COUNTIFS(Variables!$C$2:$C$38,$A9,Variables!$N$2:$N$38,"Low")</f>
        <v>1</v>
      </c>
    </row>
    <row r="10" spans="1:8" x14ac:dyDescent="0.35">
      <c r="A10" s="34" t="s">
        <v>166</v>
      </c>
      <c r="B10" s="35">
        <f>COUNTIFS(Variables!$C$2:$C$38,$A10,Variables!$B$2:$B$38,"P1")</f>
        <v>2</v>
      </c>
      <c r="C10" s="35">
        <f>COUNTIFS(Variables!$C$2:$C$38,$A10,Variables!$B$2:$B$38,"P2")</f>
        <v>1</v>
      </c>
      <c r="D10" s="35">
        <f>COUNTIFS(Variables!$C$2:$C$38,$A10,Variables!$B$2:$B$38,"P3")</f>
        <v>1</v>
      </c>
      <c r="E10" s="36">
        <f t="shared" si="0"/>
        <v>4</v>
      </c>
      <c r="F10" s="35">
        <f>COUNTIFS(Variables!$C$2:$C$38,$A10,Variables!$N$2:$N$38,"High")</f>
        <v>2</v>
      </c>
      <c r="G10" s="35">
        <f>COUNTIFS(Variables!$C$2:$C$38,$A10,Variables!$N$2:$N$38,"Medium")</f>
        <v>1</v>
      </c>
      <c r="H10" s="35">
        <f>COUNTIFS(Variables!$C$2:$C$38,$A10,Variables!$N$2:$N$38,"Low")</f>
        <v>1</v>
      </c>
    </row>
    <row r="11" spans="1:8" x14ac:dyDescent="0.35">
      <c r="A11" s="34" t="s">
        <v>187</v>
      </c>
      <c r="B11" s="35">
        <f>COUNTIFS(Variables!$C$2:$C$38,$A11,Variables!$B$2:$B$38,"P1")</f>
        <v>1</v>
      </c>
      <c r="C11" s="35">
        <f>COUNTIFS(Variables!$C$2:$C$38,$A11,Variables!$B$2:$B$38,"P2")</f>
        <v>0</v>
      </c>
      <c r="D11" s="35">
        <f>COUNTIFS(Variables!$C$2:$C$38,$A11,Variables!$B$2:$B$38,"P3")</f>
        <v>1</v>
      </c>
      <c r="E11" s="36">
        <f t="shared" si="0"/>
        <v>2</v>
      </c>
      <c r="F11" s="35">
        <f>COUNTIFS(Variables!$C$2:$C$38,$A11,Variables!$N$2:$N$38,"High")</f>
        <v>0</v>
      </c>
      <c r="G11" s="35">
        <f>COUNTIFS(Variables!$C$2:$C$38,$A11,Variables!$N$2:$N$38,"Medium")</f>
        <v>1</v>
      </c>
      <c r="H11" s="35">
        <f>COUNTIFS(Variables!$C$2:$C$38,$A11,Variables!$N$2:$N$38,"Low")</f>
        <v>1</v>
      </c>
    </row>
    <row r="12" spans="1:8" x14ac:dyDescent="0.35">
      <c r="A12" s="37" t="s">
        <v>425</v>
      </c>
      <c r="B12" s="38">
        <f t="shared" ref="B12:H12" si="1">SUM(B4:B11)</f>
        <v>16</v>
      </c>
      <c r="C12" s="38">
        <f t="shared" si="1"/>
        <v>17</v>
      </c>
      <c r="D12" s="38">
        <f t="shared" si="1"/>
        <v>4</v>
      </c>
      <c r="E12" s="38">
        <f t="shared" si="1"/>
        <v>37</v>
      </c>
      <c r="F12" s="38">
        <f t="shared" si="1"/>
        <v>14</v>
      </c>
      <c r="G12" s="38">
        <f t="shared" si="1"/>
        <v>20</v>
      </c>
      <c r="H12" s="38">
        <f t="shared" si="1"/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120" customWidth="1"/>
  </cols>
  <sheetData>
    <row r="1" spans="1:2" ht="16.5" x14ac:dyDescent="0.35">
      <c r="A1" s="23" t="s">
        <v>429</v>
      </c>
    </row>
    <row r="3" spans="1:2" x14ac:dyDescent="0.35">
      <c r="A3" s="39" t="s">
        <v>430</v>
      </c>
      <c r="B3" s="39" t="s">
        <v>404</v>
      </c>
    </row>
    <row r="4" spans="1:2" x14ac:dyDescent="0.35">
      <c r="A4" s="40" t="s">
        <v>431</v>
      </c>
      <c r="B4" s="6" t="s">
        <v>432</v>
      </c>
    </row>
    <row r="5" spans="1:2" x14ac:dyDescent="0.35">
      <c r="A5" s="40" t="s">
        <v>433</v>
      </c>
      <c r="B5" s="6" t="s">
        <v>434</v>
      </c>
    </row>
    <row r="6" spans="1:2" ht="25" x14ac:dyDescent="0.35">
      <c r="A6" s="40" t="s">
        <v>435</v>
      </c>
      <c r="B6" s="6" t="s">
        <v>436</v>
      </c>
    </row>
    <row r="7" spans="1:2" x14ac:dyDescent="0.35">
      <c r="A7" s="40" t="s">
        <v>437</v>
      </c>
      <c r="B7" s="6" t="s">
        <v>438</v>
      </c>
    </row>
    <row r="8" spans="1:2" x14ac:dyDescent="0.35">
      <c r="A8" s="40" t="s">
        <v>439</v>
      </c>
      <c r="B8" s="6" t="s">
        <v>440</v>
      </c>
    </row>
    <row r="9" spans="1:2" x14ac:dyDescent="0.35">
      <c r="A9" s="40" t="s">
        <v>441</v>
      </c>
      <c r="B9" s="6" t="s">
        <v>442</v>
      </c>
    </row>
    <row r="10" spans="1:2" x14ac:dyDescent="0.35">
      <c r="A10" s="40" t="s">
        <v>443</v>
      </c>
      <c r="B10" s="6" t="s">
        <v>444</v>
      </c>
    </row>
    <row r="11" spans="1:2" ht="25" x14ac:dyDescent="0.35">
      <c r="A11" s="40" t="s">
        <v>445</v>
      </c>
      <c r="B11" s="6" t="s">
        <v>446</v>
      </c>
    </row>
    <row r="12" spans="1:2" ht="25" x14ac:dyDescent="0.35">
      <c r="A12" s="40" t="s">
        <v>447</v>
      </c>
      <c r="B12" s="6" t="s">
        <v>448</v>
      </c>
    </row>
    <row r="13" spans="1:2" x14ac:dyDescent="0.35">
      <c r="A13" s="40" t="s">
        <v>449</v>
      </c>
      <c r="B13" s="6" t="s">
        <v>450</v>
      </c>
    </row>
    <row r="14" spans="1:2" x14ac:dyDescent="0.35">
      <c r="A14" s="40" t="s">
        <v>451</v>
      </c>
      <c r="B14" s="6" t="s">
        <v>452</v>
      </c>
    </row>
    <row r="15" spans="1:2" x14ac:dyDescent="0.35">
      <c r="A15" s="40" t="s">
        <v>453</v>
      </c>
      <c r="B15" s="6" t="s">
        <v>454</v>
      </c>
    </row>
    <row r="16" spans="1:2" x14ac:dyDescent="0.35">
      <c r="A16" s="40" t="s">
        <v>455</v>
      </c>
      <c r="B16" s="6" t="s">
        <v>456</v>
      </c>
    </row>
    <row r="17" spans="1:2" ht="25" x14ac:dyDescent="0.35">
      <c r="A17" s="40" t="s">
        <v>457</v>
      </c>
      <c r="B17" s="6" t="s">
        <v>458</v>
      </c>
    </row>
    <row r="18" spans="1:2" ht="25" x14ac:dyDescent="0.35">
      <c r="A18" s="40" t="s">
        <v>459</v>
      </c>
      <c r="B18" s="6" t="s">
        <v>460</v>
      </c>
    </row>
    <row r="19" spans="1:2" x14ac:dyDescent="0.35">
      <c r="A19" s="40" t="s">
        <v>461</v>
      </c>
      <c r="B19" s="6" t="s">
        <v>462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zoomScaleNormal="100" workbookViewId="0"/>
  </sheetViews>
  <sheetFormatPr defaultColWidth="8.6328125" defaultRowHeight="14.5" x14ac:dyDescent="0.35"/>
  <cols>
    <col min="1" max="1" width="44" customWidth="1"/>
    <col min="2" max="2" width="34" customWidth="1"/>
    <col min="3" max="3" width="60" customWidth="1"/>
  </cols>
  <sheetData>
    <row r="1" spans="1:3" ht="16.5" x14ac:dyDescent="0.35">
      <c r="A1" s="23" t="s">
        <v>463</v>
      </c>
    </row>
    <row r="3" spans="1:3" x14ac:dyDescent="0.35">
      <c r="A3" s="39" t="s">
        <v>464</v>
      </c>
      <c r="B3" s="39" t="s">
        <v>465</v>
      </c>
      <c r="C3" s="39" t="s">
        <v>466</v>
      </c>
    </row>
    <row r="4" spans="1:3" x14ac:dyDescent="0.35">
      <c r="A4" s="6" t="s">
        <v>467</v>
      </c>
      <c r="B4" s="41" t="s">
        <v>468</v>
      </c>
      <c r="C4" s="6" t="s">
        <v>469</v>
      </c>
    </row>
    <row r="5" spans="1:3" x14ac:dyDescent="0.35">
      <c r="A5" s="6" t="s">
        <v>470</v>
      </c>
      <c r="B5" s="41" t="s">
        <v>471</v>
      </c>
      <c r="C5" s="6" t="s">
        <v>59</v>
      </c>
    </row>
    <row r="6" spans="1:3" x14ac:dyDescent="0.35">
      <c r="A6" s="6" t="s">
        <v>472</v>
      </c>
      <c r="B6" s="41" t="s">
        <v>473</v>
      </c>
      <c r="C6" s="6" t="s">
        <v>46</v>
      </c>
    </row>
    <row r="7" spans="1:3" x14ac:dyDescent="0.35">
      <c r="A7" s="6" t="s">
        <v>474</v>
      </c>
      <c r="B7" s="41" t="s">
        <v>475</v>
      </c>
      <c r="C7" s="6" t="s">
        <v>69</v>
      </c>
    </row>
    <row r="8" spans="1:3" x14ac:dyDescent="0.35">
      <c r="A8" s="6" t="s">
        <v>476</v>
      </c>
      <c r="B8" s="41" t="s">
        <v>477</v>
      </c>
      <c r="C8" s="6" t="s">
        <v>89</v>
      </c>
    </row>
    <row r="9" spans="1:3" x14ac:dyDescent="0.35">
      <c r="A9" s="6" t="s">
        <v>478</v>
      </c>
      <c r="B9" s="41" t="s">
        <v>479</v>
      </c>
      <c r="C9" s="6" t="s">
        <v>100</v>
      </c>
    </row>
    <row r="10" spans="1:3" x14ac:dyDescent="0.35">
      <c r="A10" s="6" t="s">
        <v>480</v>
      </c>
      <c r="B10" s="41" t="s">
        <v>481</v>
      </c>
      <c r="C10" s="6" t="s">
        <v>278</v>
      </c>
    </row>
    <row r="11" spans="1:3" x14ac:dyDescent="0.35">
      <c r="A11" s="6" t="s">
        <v>482</v>
      </c>
      <c r="B11" s="41" t="s">
        <v>479</v>
      </c>
      <c r="C11" s="6" t="s">
        <v>483</v>
      </c>
    </row>
    <row r="12" spans="1:3" x14ac:dyDescent="0.35">
      <c r="A12" s="6" t="s">
        <v>484</v>
      </c>
      <c r="B12" s="41" t="s">
        <v>485</v>
      </c>
      <c r="C12" s="6" t="s">
        <v>286</v>
      </c>
    </row>
    <row r="13" spans="1:3" x14ac:dyDescent="0.35">
      <c r="A13" s="6" t="s">
        <v>486</v>
      </c>
      <c r="B13" s="41" t="s">
        <v>487</v>
      </c>
      <c r="C13" s="6" t="s">
        <v>317</v>
      </c>
    </row>
    <row r="14" spans="1:3" x14ac:dyDescent="0.35">
      <c r="A14" s="6" t="s">
        <v>488</v>
      </c>
      <c r="B14" s="41" t="s">
        <v>489</v>
      </c>
      <c r="C14" s="6" t="s">
        <v>144</v>
      </c>
    </row>
    <row r="15" spans="1:3" x14ac:dyDescent="0.35">
      <c r="A15" s="6" t="s">
        <v>490</v>
      </c>
      <c r="B15" s="41" t="s">
        <v>491</v>
      </c>
      <c r="C15" s="6" t="s">
        <v>144</v>
      </c>
    </row>
    <row r="16" spans="1:3" x14ac:dyDescent="0.35">
      <c r="A16" s="6" t="s">
        <v>492</v>
      </c>
      <c r="B16" s="41" t="s">
        <v>493</v>
      </c>
      <c r="C16" s="6" t="s">
        <v>156</v>
      </c>
    </row>
    <row r="17" spans="1:3" x14ac:dyDescent="0.35">
      <c r="A17" s="6" t="s">
        <v>494</v>
      </c>
      <c r="B17" s="41" t="s">
        <v>495</v>
      </c>
      <c r="C17" s="6" t="s">
        <v>156</v>
      </c>
    </row>
    <row r="18" spans="1:3" x14ac:dyDescent="0.35">
      <c r="A18" s="6" t="s">
        <v>496</v>
      </c>
      <c r="B18" s="41" t="s">
        <v>497</v>
      </c>
      <c r="C18" s="6" t="s">
        <v>134</v>
      </c>
    </row>
    <row r="19" spans="1:3" x14ac:dyDescent="0.35">
      <c r="A19" s="6" t="s">
        <v>498</v>
      </c>
      <c r="B19" s="41" t="s">
        <v>499</v>
      </c>
      <c r="C19" s="6" t="s">
        <v>188</v>
      </c>
    </row>
    <row r="21" spans="1:3" x14ac:dyDescent="0.35">
      <c r="A21" s="42" t="s">
        <v>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Variables</vt:lpstr>
      <vt:lpstr>Priority &amp; feasibility</vt:lpstr>
      <vt:lpstr>Summary</vt:lpstr>
      <vt:lpstr>Base definitions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Emilio Alejandro Torres Martínez</cp:lastModifiedBy>
  <cp:revision>0</cp:revision>
  <dcterms:created xsi:type="dcterms:W3CDTF">2026-09-28T23:33:32Z</dcterms:created>
  <dcterms:modified xsi:type="dcterms:W3CDTF">2026-09-28T23:34:23Z</dcterms:modified>
  <dc:language>en-US</dc:language>
</cp:coreProperties>
</file>